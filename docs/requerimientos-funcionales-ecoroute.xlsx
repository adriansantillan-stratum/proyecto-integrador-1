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05f90665c2bd902/Escritorio/Proyecto Integrador Desarrollo de Software 3/docs/"/>
    </mc:Choice>
  </mc:AlternateContent>
  <xr:revisionPtr revIDLastSave="0" documentId="11_B4691ED13855367C1735D8C0224FFFE6B9901D3E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querimientos" sheetId="1" r:id="rId1"/>
    <sheet name="Resumen" sheetId="2" r:id="rId2"/>
    <sheet name="Leyenda" sheetId="3" r:id="rId3"/>
  </sheets>
  <definedNames>
    <definedName name="_xlnm._FilterDatabase" localSheetId="0" hidden="1">Requerimientos!$A$1:$K$82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" i="2" l="1"/>
  <c r="B24" i="2"/>
  <c r="B23" i="2"/>
  <c r="B22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18" i="2" l="1"/>
</calcChain>
</file>

<file path=xl/sharedStrings.xml><?xml version="1.0" encoding="utf-8"?>
<sst xmlns="http://schemas.openxmlformats.org/spreadsheetml/2006/main" count="734" uniqueCount="479">
  <si>
    <t>Id</t>
  </si>
  <si>
    <t>Función</t>
  </si>
  <si>
    <t>Estudiante</t>
  </si>
  <si>
    <t>Reformulado de la función</t>
  </si>
  <si>
    <t>Grupo</t>
  </si>
  <si>
    <t>Comportamiento</t>
  </si>
  <si>
    <t>Módulo</t>
  </si>
  <si>
    <t>Actor / Rol</t>
  </si>
  <si>
    <t>Requerimiento funcional</t>
  </si>
  <si>
    <t>Ubicación en el código</t>
  </si>
  <si>
    <t>Observación</t>
  </si>
  <si>
    <t>keycloak.redirectToKeycloakLogin() + exchangeCodeForTokens()</t>
  </si>
  <si>
    <t>Nicolás Santillán</t>
  </si>
  <si>
    <t>Iniciar sesión en el panel web</t>
  </si>
  <si>
    <t>El usuario podrá iniciar sesión en el panel web mediante el proveedor de identidad corporativo y obtener un token de acceso.</t>
  </si>
  <si>
    <t>Seguridad y control de acceso</t>
  </si>
  <si>
    <t>Administrador / Dispatcher</t>
  </si>
  <si>
    <t>Autenticar a los usuarios del panel web contra el proveedor de identidad</t>
  </si>
  <si>
    <t>web-admin/src/services/keycloak.ts · Keycloak realm ecoroute, cliente web-admin</t>
  </si>
  <si>
    <t>Flujo Authorization Code con PKCE (S256).</t>
  </si>
  <si>
    <t>AuthRemoteDataSourceImpl.login()</t>
  </si>
  <si>
    <t>Iniciar sesión en la app móvil</t>
  </si>
  <si>
    <t>El conductor podrá iniciar sesión en la aplicación móvil con sus credenciales para acceder a sus rutas.</t>
  </si>
  <si>
    <t>Conductor</t>
  </si>
  <si>
    <t>Autenticar al conductor en la aplicación móvil con usuario y contraseña</t>
  </si>
  <si>
    <t>mobile-app/lib/features/auth/.../auth_remote_data_source.dart</t>
  </si>
  <si>
    <t>Concesión por contraseña contra el cliente mobile-app; token válido 8 horas.</t>
  </si>
  <si>
    <t>api.refreshAccessToken() + keycloak.refreshTokens()</t>
  </si>
  <si>
    <t>Renovar la sesión automáticamente</t>
  </si>
  <si>
    <t>El sistema renovará el token de acceso sin intervención del usuario cuando este caduque durante el uso.</t>
  </si>
  <si>
    <t>Sistema (automático)</t>
  </si>
  <si>
    <t>Renovar automáticamente la sesión del panel web antes de que expire el token</t>
  </si>
  <si>
    <t>web-admin/src/services/api.ts (interceptor de respuesta ante HTTP 401)</t>
  </si>
  <si>
    <t>Sin esta renovación la sesión caducaría cada 5 minutos.</t>
  </si>
  <si>
    <t>AuthLocalDataSourceImpl.cacheUser() / getLastUser()</t>
  </si>
  <si>
    <t>Mantener la sesión iniciada en el dispositivo</t>
  </si>
  <si>
    <t>El conductor permanecerá autenticado al cerrar y volver a abrir la aplicación, sin repetir sus credenciales.</t>
  </si>
  <si>
    <t>Mantener la sesión del conductor almacenada de forma segura en el dispositivo</t>
  </si>
  <si>
    <t>mobile-app/lib/features/auth/.../auth_local_data_source.dart (flutter_secure_storage)</t>
  </si>
  <si>
    <t>AuthContext.logout() + keycloak.keycloakLogoutUrl()</t>
  </si>
  <si>
    <t>Cerrar sesión</t>
  </si>
  <si>
    <t>El usuario podrá cerrar su sesión y el sistema invalidará su acceso tanto en la aplicación como en el proveedor de identidad.</t>
  </si>
  <si>
    <t>Administrador / Dispatcher / Conductor</t>
  </si>
  <si>
    <t>Cerrar la sesión del usuario en la aplicación y en el proveedor de identidad</t>
  </si>
  <si>
    <t>web-admin/src/context/AuthContext.tsx · profile_page.dart</t>
  </si>
  <si>
    <t>SecurityConfig.securityWebFilterChain() + AuthContext.hasRole()</t>
  </si>
  <si>
    <t>Restringir módulos según el rol</t>
  </si>
  <si>
    <t>El sistema mostrará y permitirá únicamente los módulos autorizados para el rol del usuario que inició sesión.</t>
  </si>
  <si>
    <t>Restringir el acceso a cada módulo según el rol asignado al usuario</t>
  </si>
  <si>
    <t>SecurityConfig.java (reglas por ruta) · web-admin ProtectedRoute.tsx</t>
  </si>
  <si>
    <t>Roles: ADMIN, DISPATCHER y DRIVER. Reportes, dashboard y usuarios quedan reservados a ADMIN.</t>
  </si>
  <si>
    <t>UserController.assignRole() / removeRole()</t>
  </si>
  <si>
    <t>Asignar roles a los usuarios</t>
  </si>
  <si>
    <t>El administrador podrá asignar a un usuario el rol de ADMIN, DISPATCHER o DRIVER desde el panel.</t>
  </si>
  <si>
    <t>Administrador</t>
  </si>
  <si>
    <t>Asignar roles del sistema a los usuarios registrados</t>
  </si>
  <si>
    <t>web-admin/src/pages/Users.tsx · UserController.java</t>
  </si>
  <si>
    <t>Las altas y bajas de usuarios se realizan en Keycloak; el panel administra la asignación de roles.</t>
  </si>
  <si>
    <t>RateLimitFilter.filter()</t>
  </si>
  <si>
    <t>Limitar la frecuencia de peticiones</t>
  </si>
  <si>
    <t>El sistema rechazará las peticiones que superen el límite permitido por minuto para proteger el servicio.</t>
  </si>
  <si>
    <t>Limitar la cantidad de peticiones que un cliente puede hacer por minuto</t>
  </si>
  <si>
    <t>RateLimitFilter.java</t>
  </si>
  <si>
    <t>Límite configurado en 120 peticiones por minuto.</t>
  </si>
  <si>
    <t>DriverController.createDriver()</t>
  </si>
  <si>
    <t>Registrar conductor</t>
  </si>
  <si>
    <t>El administrador podrá registrar un conductor y el sistema validará que su licencia, teléfono y correo tengan el formato correcto.</t>
  </si>
  <si>
    <t>Gestión de conductores</t>
  </si>
  <si>
    <t>Registrar conductores validando el formato de licencia, teléfono y correo</t>
  </si>
  <si>
    <t>DriverRequest.java · web-admin/src/pages/Drivers.tsx</t>
  </si>
  <si>
    <t>Licencia: una letra y ocho dígitos (Q12345678). Teléfono: nueve dígitos que inician en 9.</t>
  </si>
  <si>
    <t>DriverController.getAllDrivers()</t>
  </si>
  <si>
    <t>Consultar listado de conductores</t>
  </si>
  <si>
    <t>El administrador podrá consultar todos los conductores registrados con navegación por páginas.</t>
  </si>
  <si>
    <t>Consultar el listado de conductores registrados de forma paginada</t>
  </si>
  <si>
    <t>DriverController.java · Drivers.tsx + Pagination.tsx</t>
  </si>
  <si>
    <t>DriverController.updateDriver()</t>
  </si>
  <si>
    <t>Modificar conductor</t>
  </si>
  <si>
    <t>El administrador podrá actualizar los datos de un conductor existente.</t>
  </si>
  <si>
    <t>Modificar los datos de un conductor registrado</t>
  </si>
  <si>
    <t>DriverController.java (PUT /drivers/{id})</t>
  </si>
  <si>
    <t>DriverController.deleteDriver()</t>
  </si>
  <si>
    <t>Eliminar conductor</t>
  </si>
  <si>
    <t>El administrador podrá eliminar del sistema a un conductor que ya no forma parte de la operación.</t>
  </si>
  <si>
    <t>Eliminar un conductor del sistema</t>
  </si>
  <si>
    <t>DriverController.java (DELETE /drivers/{id})</t>
  </si>
  <si>
    <t>VehicleController.createVehicle()</t>
  </si>
  <si>
    <t>Registrar vehículo</t>
  </si>
  <si>
    <t>El administrador podrá registrar un vehículo indicando su placa, marca, modelo y capacidad en kilogramos y metros cúbicos.</t>
  </si>
  <si>
    <t>Gestión de vehículos</t>
  </si>
  <si>
    <t>Registrar vehículos con placa, marca, modelo y capacidad de carga</t>
  </si>
  <si>
    <t>VehicleRequest.java · web-admin/src/pages/Vehicles.tsx</t>
  </si>
  <si>
    <t>La placa se valida con el formato de tres caracteres, guion y tres caracteres (ABC-123).</t>
  </si>
  <si>
    <t>VehicleController.getAllVehicles()</t>
  </si>
  <si>
    <t>Consultar listado de vehículos</t>
  </si>
  <si>
    <t>El administrador podrá consultar todos los vehículos registrados con navegación por páginas.</t>
  </si>
  <si>
    <t>Consultar el listado de vehículos de la flota de forma paginada</t>
  </si>
  <si>
    <t>VehicleController.java · Vehicles.tsx</t>
  </si>
  <si>
    <t>VehicleController.updateVehicle()</t>
  </si>
  <si>
    <t>Modificar vehículo</t>
  </si>
  <si>
    <t>El administrador podrá actualizar los datos de un vehículo existente.</t>
  </si>
  <si>
    <t>Modificar los datos de un vehículo registrado</t>
  </si>
  <si>
    <t>VehicleController.java (PUT /vehicles/{id})</t>
  </si>
  <si>
    <t>VehicleController.deleteVehicle()</t>
  </si>
  <si>
    <t>Eliminar vehículo</t>
  </si>
  <si>
    <t>El administrador podrá dar de baja un vehículo que ya no pertenece a la flota.</t>
  </si>
  <si>
    <t>Eliminar un vehículo de la flota</t>
  </si>
  <si>
    <t>VehicleController.java (DELETE /vehicles/{id})</t>
  </si>
  <si>
    <t>OrderController.createOrder()</t>
  </si>
  <si>
    <t>Registrar pedido</t>
  </si>
  <si>
    <t>El dispatcher podrá registrar un pedido y el sistema validará sus datos obligatorios antes de guardarlo.</t>
  </si>
  <si>
    <t>Gestión de pedidos</t>
  </si>
  <si>
    <t>Dispatcher</t>
  </si>
  <si>
    <t>Registrar pedidos validando tracking, cliente, teléfono, correo y dirección</t>
  </si>
  <si>
    <t>CreateOrderRequest.java · web-admin/src/pages/Orders.tsx</t>
  </si>
  <si>
    <t>Tracking de 5 a 50 caracteres; teléfono de nueve dígitos que inicia en 9.</t>
  </si>
  <si>
    <t>Orders.handleGeocode()</t>
  </si>
  <si>
    <t>Geocodificar la dirección de entrega</t>
  </si>
  <si>
    <t>El sistema obtendrá la latitud y longitud correspondientes a la dirección escrita, para poder ubicarla en el mapa.</t>
  </si>
  <si>
    <t>Obtener automáticamente las coordenadas de la dirección de entrega</t>
  </si>
  <si>
    <t>web-admin/src/pages/Orders.tsx (servicio Nominatim de OpenStreetMap)</t>
  </si>
  <si>
    <t>Depende de un servicio externo gratuito; direcciones ambiguas pueden requerir corrección manual.</t>
  </si>
  <si>
    <t>OrderUseCasesImpl.createOrder()</t>
  </si>
  <si>
    <t>Asignar pedido a una ruta</t>
  </si>
  <si>
    <t>El dispatcher podrá vincular el pedido a una ruta existente al momento de crearlo.</t>
  </si>
  <si>
    <t>Asignar el pedido a una ruta en el momento de su registro</t>
  </si>
  <si>
    <t>OrderUseCasesImpl.java</t>
  </si>
  <si>
    <t>El pedido nace en estado ASSIGNED si se le asigna ruta y en PENDING si no.</t>
  </si>
  <si>
    <t>OrderController.bulkImportCsv()</t>
  </si>
  <si>
    <t>Importar pedidos desde CSV</t>
  </si>
  <si>
    <t>El dispatcher podrá cargar los pedidos del día desde un archivo CSV y revisarlos antes de confirmar la importación.</t>
  </si>
  <si>
    <t>Importar pedidos de forma masiva desde un archivo CSV con vista previa</t>
  </si>
  <si>
    <t>OrderController.java (POST /orders/bulk-csv) · Orders.tsx</t>
  </si>
  <si>
    <t>Formato: trackingNumber, recipientName, deliveryAddress, latitude, longitude.</t>
  </si>
  <si>
    <t>OrderController.getAllOrders()</t>
  </si>
  <si>
    <t>Consultar y filtrar pedidos</t>
  </si>
  <si>
    <t>El dispatcher podrá filtrar el listado de pedidos por su estado y buscar uno específico por su número de tracking.</t>
  </si>
  <si>
    <t>Consultar los pedidos filtrando por estado y buscando por número de tracking</t>
  </si>
  <si>
    <t>Orders.tsx · OrderController.java (GET /orders)</t>
  </si>
  <si>
    <t>OrderController.getOrderById()</t>
  </si>
  <si>
    <t>Consultar detalle del pedido</t>
  </si>
  <si>
    <t>El usuario podrá abrir un pedido y consultar todos sus datos de entrega y su estado actual.</t>
  </si>
  <si>
    <t>Consultar el detalle de un pedido registrado</t>
  </si>
  <si>
    <t>OrderController.java (GET /orders/{id})</t>
  </si>
  <si>
    <t>OrderUseCasesImpl.updateStatusManual()</t>
  </si>
  <si>
    <t>Actualizar estado del pedido</t>
  </si>
  <si>
    <t>El usuario podrá cambiar el estado de un pedido conforme avanza su proceso de entrega.</t>
  </si>
  <si>
    <t>Dispatcher / Conductor</t>
  </si>
  <si>
    <t>Actualizar el estado de un pedido a lo largo de su ciclo de vida</t>
  </si>
  <si>
    <t>OrderController.java (PATCH /orders/{id}/status) · OrderStatus.java</t>
  </si>
  <si>
    <t>Estados disponibles: PENDING, ASSIGNED, PICKED_UP, IN_TRANSIT, DELIVERED, FAILED y RETURNED.</t>
  </si>
  <si>
    <t>OrderController.deleteOrder()</t>
  </si>
  <si>
    <t>Eliminar pedido</t>
  </si>
  <si>
    <t>El dispatcher podrá eliminar un pedido registrado por error o que ya no será entregado.</t>
  </si>
  <si>
    <t>Eliminar un pedido del sistema</t>
  </si>
  <si>
    <t>OrderController.java (DELETE /orders/{id})</t>
  </si>
  <si>
    <t>Orders.handleOpenDetail()</t>
  </si>
  <si>
    <t>Consultar la evidencia del pedido</t>
  </si>
  <si>
    <t>El usuario podrá ver la fotografía de evidencia registrada al momento de la entrega.</t>
  </si>
  <si>
    <t>Consultar la evidencia fotográfica asociada a un pedido entregado</t>
  </si>
  <si>
    <t>Orders.tsx (modal de evidencia)</t>
  </si>
  <si>
    <t>RouteController.createRoute()</t>
  </si>
  <si>
    <t>Crear ruta de reparto</t>
  </si>
  <si>
    <t>El dispatcher podrá crear la ruta del día asignándole un conductor, un vehículo y la hora prevista de salida.</t>
  </si>
  <si>
    <t>Planificación y despacho de rutas</t>
  </si>
  <si>
    <t>Crear una ruta asignando conductor, vehículo, fecha y hora estimada de inicio</t>
  </si>
  <si>
    <t>CreateRouteRequest.java · web-admin/src/pages/Routes.tsx</t>
  </si>
  <si>
    <t>RouteUseCasesImpl.createRoute()</t>
  </si>
  <si>
    <t>Validar disponibilidad de conductor y vehículo</t>
  </si>
  <si>
    <t>El sistema rechazará la creación de una ruta si el conductor o el vehículo ya tienen otra ruta planificada o en curso ese día.</t>
  </si>
  <si>
    <t>Impedir que un conductor o vehículo tenga más de una ruta activa en la misma fecha</t>
  </si>
  <si>
    <t>Considera rutas en estado PLANNED e IN_PROGRESS.</t>
  </si>
  <si>
    <t>RouteUseCasesImpl.getRoutesByFilters()</t>
  </si>
  <si>
    <t>Consultar y filtrar rutas</t>
  </si>
  <si>
    <t>El dispatcher podrá consultar las rutas de hoy, de mañana o del histórico, y filtrarlas por su estado.</t>
  </si>
  <si>
    <t>Consultar las rutas filtrando por fecha y por estado</t>
  </si>
  <si>
    <t>RouteController.java (GET /routes?date&amp;status) · Routes.tsx</t>
  </si>
  <si>
    <t>Routes.handleStartRoute() + RouteController.updateStatus()</t>
  </si>
  <si>
    <t>Iniciar el despacho de la ruta</t>
  </si>
  <si>
    <t>El dispatcher podrá dar inicio a la ruta y esta pasará del estado planificado a en progreso.</t>
  </si>
  <si>
    <t>Iniciar el despacho de una ruta planificada</t>
  </si>
  <si>
    <t>RouteController.java (PATCH /routes/{id}/status) · Routes.tsx</t>
  </si>
  <si>
    <t>RouteUseCasesImpl.updateRouteStatus()</t>
  </si>
  <si>
    <t>Poner los pedidos en tránsito al despachar</t>
  </si>
  <si>
    <t>El sistema cambiará automáticamente todos los pedidos de la ruta al estado en tránsito cuando esta se inicie.</t>
  </si>
  <si>
    <t>Cambiar en cascada los pedidos de la ruta a en tránsito al iniciar el despacho</t>
  </si>
  <si>
    <t>CreateDeliveryProofUseCaseImpl.checkAndCompleteRoute()</t>
  </si>
  <si>
    <t>Completar la ruta automáticamente</t>
  </si>
  <si>
    <t>El sistema marcará la ruta como completada sin intervención del usuario cuando ningún pedido quede pendiente.</t>
  </si>
  <si>
    <t>Completar automáticamente la ruta cuando todos sus pedidos alcanzan un estado final</t>
  </si>
  <si>
    <t>CreateDeliveryProofUseCaseImpl.checkAndCompleteRoute() · OrderUseCasesImpl</t>
  </si>
  <si>
    <t>Estados finales considerados: DELIVERED, FAILED y RETURNED.</t>
  </si>
  <si>
    <t>RouteController.deleteRoute()</t>
  </si>
  <si>
    <t>Eliminar ruta</t>
  </si>
  <si>
    <t>El dispatcher podrá eliminar una ruta creada por error.</t>
  </si>
  <si>
    <t>Eliminar una ruta del sistema</t>
  </si>
  <si>
    <t>RouteController.java (DELETE /routes/{id})</t>
  </si>
  <si>
    <t>OsrmRoutingAdapter.resolveVisitOrder()</t>
  </si>
  <si>
    <t>Calcular el orden óptimo de paradas</t>
  </si>
  <si>
    <t>El sistema determinará en qué orden conviene visitar las paradas de la ruta usando las calles reales.</t>
  </si>
  <si>
    <t>Optimización del recorrido</t>
  </si>
  <si>
    <t>Calcular el orden óptimo de visita de las paradas sobre la red vial real</t>
  </si>
  <si>
    <t>OsrmRoutingAdapter.java · servicio OSRM con el mapa de Perú</t>
  </si>
  <si>
    <t>Resuelve el orden con el servicio /trip y obtiene el trazado con /route.</t>
  </si>
  <si>
    <t>OsrmRoutingAdapter.fetchRoute()</t>
  </si>
  <si>
    <t>Calcular distancia y duración de la ruta</t>
  </si>
  <si>
    <t>El sistema calculará la distancia y el tiempo estimado del recorrido y los guardará junto con la ruta.</t>
  </si>
  <si>
    <t>Calcular y almacenar la distancia total, la duración estimada y el trazado del recorrido</t>
  </si>
  <si>
    <t>RouteUseCasesImpl · migración V8 (routes.geometry, total_duration_min)</t>
  </si>
  <si>
    <t>RouteUseCasesImpl.calculateRouteDistance()</t>
  </si>
  <si>
    <t>Registrar la secuencia de visita</t>
  </si>
  <si>
    <t>El sistema guardará en cada pedido el número de parada que le corresponde dentro de la ruta optimizada.</t>
  </si>
  <si>
    <t>Registrar en cada pedido su número de parada dentro del recorrido</t>
  </si>
  <si>
    <t>migración V8 (orders.stop_sequence)</t>
  </si>
  <si>
    <t>RouteController.getRoutePath()</t>
  </si>
  <si>
    <t>Recalcular el camino en curso</t>
  </si>
  <si>
    <t>El sistema recalculará el recorrido restante tomando como punto de partida la ubicación actual del vehículo.</t>
  </si>
  <si>
    <t>Recalcular el camino pendiente desde la posición actual del conductor</t>
  </si>
  <si>
    <t>RouteController.java (GET /routes/{id}/path?fromLat&amp;fromLng)</t>
  </si>
  <si>
    <t>Considera únicamente los pedidos que siguen pendientes o en tránsito.</t>
  </si>
  <si>
    <t>RoutePlannerService.haversineFallback()</t>
  </si>
  <si>
    <t>Degradar el cálculo ante falla del motor de ruteo</t>
  </si>
  <si>
    <t>El sistema calculará la ruta con una estimación en línea recta cuando el motor de ruteo no esté disponible, sin detener la operación.</t>
  </si>
  <si>
    <t>Continuar operando con un cálculo aproximado si el motor de ruteo no responde</t>
  </si>
  <si>
    <t>Se registra una advertencia en el log y el resultado se marca como proveniente del cálculo aproximado.</t>
  </si>
  <si>
    <t>RouteRemoteDataSourceImpl.getRoutes()</t>
  </si>
  <si>
    <t>Consultar las rutas del día</t>
  </si>
  <si>
    <t>El conductor verá al ingresar solo las rutas que tiene asignadas para el día en curso.</t>
  </si>
  <si>
    <t>Ejecución de entregas en campo</t>
  </si>
  <si>
    <t>Consultar únicamente las rutas asignadas al conductor para la fecha actual</t>
  </si>
  <si>
    <t>route_remote_data_source.dart (GET /routes?date=hoy)</t>
  </si>
  <si>
    <t>_RoutesPageState._fetchStreetPath() + decodePolyline5()</t>
  </si>
  <si>
    <t>Visualizar el recorrido en el mapa</t>
  </si>
  <si>
    <t>El conductor verá en el mapa el camino a seguir por las calles y cada parada marcada con su número de orden.</t>
  </si>
  <si>
    <t>Visualizar en el mapa el trazado del recorrido y las paradas numeradas en orden de visita</t>
  </si>
  <si>
    <t>routes_page.dart · polyline_decoder.dart</t>
  </si>
  <si>
    <t>Si el servidor no entrega el trazado, la aplicación dibuja el recorrido en línea recta.</t>
  </si>
  <si>
    <t>RoutePathModel (distanceKm, durationMin)</t>
  </si>
  <si>
    <t>Mostrar distancia y tiempo estimado</t>
  </si>
  <si>
    <t>El conductor podrá ver cuántos kilómetros y minutos le faltan para completar su recorrido.</t>
  </si>
  <si>
    <t>Mostrar la distancia y el tiempo estimado del recorrido pendiente</t>
  </si>
  <si>
    <t>routes_page.dart (indicador sobre el mapa)</t>
  </si>
  <si>
    <t>_RoutesPageState._sortForDisplay()</t>
  </si>
  <si>
    <t>Consultar las entregas pendientes</t>
  </si>
  <si>
    <t>El conductor podrá ver la lista de sus entregas pendientes en el orden en que conviene realizarlas.</t>
  </si>
  <si>
    <t>Consultar la lista de entregas pendientes ordenada por secuencia de visita</t>
  </si>
  <si>
    <t>routes_page.dart</t>
  </si>
  <si>
    <t>OrderDetailPage</t>
  </si>
  <si>
    <t>Consultar el pedido desde la app</t>
  </si>
  <si>
    <t>El conductor podrá abrir un pedido y ver el cliente, la dirección y su estado actual.</t>
  </si>
  <si>
    <t>Consultar el detalle de un pedido asignado desde la aplicación móvil</t>
  </si>
  <si>
    <t>order_detail_page.dart</t>
  </si>
  <si>
    <t>OrderRemoteDataSourceImpl.updateOrderStatus()</t>
  </si>
  <si>
    <t>Registrar el estado de la entrega</t>
  </si>
  <si>
    <t>El conductor podrá cambiar el estado de su pedido a en tránsito, entregado o fallido.</t>
  </si>
  <si>
    <t>Registrar desde la aplicación el cambio de estado de un pedido</t>
  </si>
  <si>
    <t>Estados disponibles en la aplicación: PENDING, IN_TRANSIT, DELIVERED y FAILED.</t>
  </si>
  <si>
    <t>_OrderDetailPageState._isReadOnly</t>
  </si>
  <si>
    <t>Bloquear pedidos ya finalizados</t>
  </si>
  <si>
    <t>El sistema impedirá modificar un pedido que ya fue entregado o marcado como fallido.</t>
  </si>
  <si>
    <t>Bloquear la edición de los pedidos que ya alcanzaron un estado final</t>
  </si>
  <si>
    <t>order_detail_page.dart (modo de solo lectura)</t>
  </si>
  <si>
    <t>HistoryPage._onRefresh()</t>
  </si>
  <si>
    <t>Consultar el historial de entregas</t>
  </si>
  <si>
    <t>El conductor podrá revisar las entregas que ya completó, con su estado final.</t>
  </si>
  <si>
    <t>Consultar el historial de entregas finalizadas del conductor</t>
  </si>
  <si>
    <t>history_page.dart</t>
  </si>
  <si>
    <t>ProfilePage._fetchDriverDetails()</t>
  </si>
  <si>
    <t>Consultar el perfil del conductor</t>
  </si>
  <si>
    <t>El conductor podrá consultar sus datos personales, su licencia y el rol con el que ingresó.</t>
  </si>
  <si>
    <t>Consultar el perfil del conductor con sus datos y su licencia</t>
  </si>
  <si>
    <t>profile_page.dart</t>
  </si>
  <si>
    <t>ThemeBloc</t>
  </si>
  <si>
    <t>Cambiar el tema de la aplicación</t>
  </si>
  <si>
    <t>El conductor podrá activar el modo oscuro para usar la aplicación con poca luz.</t>
  </si>
  <si>
    <t>Alternar entre tema claro y tema oscuro en la aplicación móvil</t>
  </si>
  <si>
    <t>profile_page.dart · core/theme/theme_bloc.dart</t>
  </si>
  <si>
    <t>Defecto conocido: el panel de entregas conserva el fondo claro y el texto queda con poco contraste.</t>
  </si>
  <si>
    <t>_OrderDetailPageState._takePhoto()</t>
  </si>
  <si>
    <t>Capturar fotografía de evidencia</t>
  </si>
  <si>
    <t>El conductor podrá tomar una fotografía como evidencia en el momento de entregar el pedido.</t>
  </si>
  <si>
    <t>Prueba de entrega (POD)</t>
  </si>
  <si>
    <t>Capturar una fotografía de la entrega con la cámara del dispositivo</t>
  </si>
  <si>
    <t>order_detail_page.dart (image_picker)</t>
  </si>
  <si>
    <t>_OrderDetailPageState._submitDelivery()</t>
  </si>
  <si>
    <t>Exigir evidencia fotográfica</t>
  </si>
  <si>
    <t>El sistema no permitirá marcar un pedido como entregado si no se adjuntó una fotografía de evidencia.</t>
  </si>
  <si>
    <t>Exigir la fotografía de evidencia para poder marcar el pedido como entregado</t>
  </si>
  <si>
    <t>order_detail_page.dart (validación previa al guardado)</t>
  </si>
  <si>
    <t>SignaturePad</t>
  </si>
  <si>
    <t>Capturar la firma del receptor</t>
  </si>
  <si>
    <t>El receptor podrá firmar con el dedo en la pantalla y el sistema guardará esa firma con la entrega.</t>
  </si>
  <si>
    <t>Capturar la firma del receptor en la pantalla del dispositivo</t>
  </si>
  <si>
    <t>widgets/signature_pad.dart</t>
  </si>
  <si>
    <t>OrderRemoteDataSourceImpl.createDeliveryProof()</t>
  </si>
  <si>
    <t>Registrar los datos del receptor</t>
  </si>
  <si>
    <t>El conductor podrá registrar el nombre y el DNI de la persona que recibe el pedido.</t>
  </si>
  <si>
    <t>Registrar el nombre y el documento de identidad de quien recibe</t>
  </si>
  <si>
    <t>order_detail_page.dart · DeliveryProof.java</t>
  </si>
  <si>
    <t>El nombre se propone precargado con el del destinatario del pedido.</t>
  </si>
  <si>
    <t>DeliveryProof (latitude, longitude, verifiedAt)</t>
  </si>
  <si>
    <t>Registrar ubicación y hora de la entrega</t>
  </si>
  <si>
    <t>El sistema guardará las coordenadas y la fecha y hora en que se confirmó la entrega.</t>
  </si>
  <si>
    <t>Registrar la ubicación y el momento exacto en que se verifica la entrega</t>
  </si>
  <si>
    <t>DeliveryProof.java (latitude, longitude, verifiedAt)</t>
  </si>
  <si>
    <t>S3Service.uploadBase64()</t>
  </si>
  <si>
    <t>Almacenar las evidencias</t>
  </si>
  <si>
    <t>El sistema subirá la fotografía y la firma al almacenamiento de objetos y guardará su ubicación junto a la entrega.</t>
  </si>
  <si>
    <t>Almacenar la fotografía y la firma en el servicio de almacenamiento de objetos</t>
  </si>
  <si>
    <t>S3Service.java · CreateDeliveryProofUseCaseImpl</t>
  </si>
  <si>
    <t>En el entorno local se usa LocalStack como sustituto de S3.</t>
  </si>
  <si>
    <t>CreateDeliveryProofUseCaseImpl.createDeliveryProof()</t>
  </si>
  <si>
    <t>Cerrar el pedido con la evidencia</t>
  </si>
  <si>
    <t>El sistema cambiará el pedido al estado entregado en cuanto se registre su prueba de entrega.</t>
  </si>
  <si>
    <t>Marcar el pedido como entregado al registrar su evidencia</t>
  </si>
  <si>
    <t>CreateDeliveryProofUseCaseImpl</t>
  </si>
  <si>
    <t>PdfService.generateDeliveryReceipt()</t>
  </si>
  <si>
    <t>Descargar el comprobante de entrega</t>
  </si>
  <si>
    <t>El usuario podrá descargar un comprobante en PDF con los datos de la entrega, el receptor y las coordenadas.</t>
  </si>
  <si>
    <t>Generar y descargar el comprobante de entrega en formato PDF</t>
  </si>
  <si>
    <t>DeliveryProofController.java (GET /delivery-proofs/{orderId}/pdf) · PdfService.java</t>
  </si>
  <si>
    <t>GpsRepositoryImpl.sendLocationToBackend()</t>
  </si>
  <si>
    <t>Enviar la ubicación del vehículo</t>
  </si>
  <si>
    <t>La aplicación enviará al servidor la posición del vehículo con su velocidad y rumbo mientras el conductor está en ruta.</t>
  </si>
  <si>
    <t>Seguimiento GPS</t>
  </si>
  <si>
    <t>Enviar periódicamente la ubicación del vehículo desde la aplicación del conductor</t>
  </si>
  <si>
    <t>gps_repository_impl.dart (POST /gps/ping) · GpsController.java</t>
  </si>
  <si>
    <t>GpsUseCasesImpl.addGpsLocation()</t>
  </si>
  <si>
    <t>Almacenar el historial de posiciones</t>
  </si>
  <si>
    <t>El sistema guardará las posiciones recibidas para poder reconstruir el recorrido realizado.</t>
  </si>
  <si>
    <t>Almacenar el historial de posiciones registradas por cada vehículo</t>
  </si>
  <si>
    <t>VehicleGpsHistory.java · tabla vehicle_gps_history</t>
  </si>
  <si>
    <t>GpsWebSocketHandler.handle()</t>
  </si>
  <si>
    <t>Transmitir la ubicación en tiempo real</t>
  </si>
  <si>
    <t>El sistema difundirá la posición del vehículo en tiempo real hacia el panel de seguimiento.</t>
  </si>
  <si>
    <t>Transmitir la ubicación del vehículo en tiempo real al panel de seguimiento</t>
  </si>
  <si>
    <t>WebSocketConfig.java · endpoint ws://.../ws/gps</t>
  </si>
  <si>
    <t>TrackingMap + Routes.fetchGpsHistory()</t>
  </si>
  <si>
    <t>Monitorear la ruta en el mapa</t>
  </si>
  <si>
    <t>El dispatcher podrá seguir en el mapa la posición del vehículo y las paradas de la ruta en curso.</t>
  </si>
  <si>
    <t>Visualizar en el mapa del panel la posición del vehículo y el avance de la ruta</t>
  </si>
  <si>
    <t>web-admin/src/components/TrackingMap.tsx · Routes.tsx</t>
  </si>
  <si>
    <t>NotificationService.sendDeliveryNotification()</t>
  </si>
  <si>
    <t>Notificar la entrega registrada</t>
  </si>
  <si>
    <t>El sistema generará una notificación cada vez que un conductor complete una entrega.</t>
  </si>
  <si>
    <t>Notificaciones</t>
  </si>
  <si>
    <t>Emitir una notificación cuando se registra una entrega</t>
  </si>
  <si>
    <t>NotificationService.java (cola SQS) · tabla notifications</t>
  </si>
  <si>
    <t>NotificationController.getUnreadNotifications() / getUnreadCount()</t>
  </si>
  <si>
    <t>Consultar notificaciones no leídas</t>
  </si>
  <si>
    <t>El usuario podrá consultar las notificaciones pendientes de revisar y cuántas son.</t>
  </si>
  <si>
    <t>Consultar las notificaciones no leídas y su cantidad</t>
  </si>
  <si>
    <t>NotificationController.java · NotificationPanel.tsx</t>
  </si>
  <si>
    <t>NotificationController.markAsRead()</t>
  </si>
  <si>
    <t>Marcar notificación como leída</t>
  </si>
  <si>
    <t>El usuario podrá marcar una notificación como revisada para retirarla de las pendientes.</t>
  </si>
  <si>
    <t>Marcar una notificación como leída</t>
  </si>
  <si>
    <t>NotificationController.java (PATCH /notifications/{id}/read)</t>
  </si>
  <si>
    <t>DashboardController.getOrderStats()</t>
  </si>
  <si>
    <t>Visualizar pedidos por estado</t>
  </si>
  <si>
    <t>El administrador podrá ver cuántos pedidos hay en total, en ruta, entregados y pendientes.</t>
  </si>
  <si>
    <t>Analítica y reportes</t>
  </si>
  <si>
    <t>Visualizar el conteo de pedidos por estado en el cuadro de mando</t>
  </si>
  <si>
    <t>DashboardController.java (/dashboard/orders-by-status) · Dashboard.tsx</t>
  </si>
  <si>
    <t>DashboardController.getDeliveryPerformance()</t>
  </si>
  <si>
    <t>Comparar entregas a tiempo y retrasadas</t>
  </si>
  <si>
    <t>El administrador podrá comparar cuántas entregas se hicieron dentro de la ventana comprometida y cuántas fuera de ella.</t>
  </si>
  <si>
    <t>Comparar las entregas realizadas a tiempo frente a las retrasadas</t>
  </si>
  <si>
    <t>DashboardController.java (/dashboard/delivery-performance)</t>
  </si>
  <si>
    <t>Compara la hora de verificación contra el fin de la ventana de entrega del pedido.</t>
  </si>
  <si>
    <t>DashboardController.getDeliveriesByDriver()</t>
  </si>
  <si>
    <t>Visualizar entregas por conductor</t>
  </si>
  <si>
    <t>El administrador podrá ver cuántas entregas completó cada conductor.</t>
  </si>
  <si>
    <t>Visualizar la cantidad de entregas realizadas por cada conductor</t>
  </si>
  <si>
    <t>DashboardController.java (/dashboard/deliveries-by-driver) · Charts.tsx</t>
  </si>
  <si>
    <t>DashboardController.getOrdersByDistrict()</t>
  </si>
  <si>
    <t>Visualizar pedidos por distrito</t>
  </si>
  <si>
    <t>El administrador podrá ver en qué distritos se concentran los pedidos de la operación.</t>
  </si>
  <si>
    <t>Visualizar la distribución de pedidos por distrito</t>
  </si>
  <si>
    <t>DashboardController.java (/dashboard/orders-by-district)</t>
  </si>
  <si>
    <t>Dashboard.fetchData()</t>
  </si>
  <si>
    <t>Consultar el estado de la flota</t>
  </si>
  <si>
    <t>El administrador podrá ver cuántos conductores están libres y cuántos vehículos están disponibles.</t>
  </si>
  <si>
    <t>Consultar el estado de la flota con conductores y vehículos disponibles</t>
  </si>
  <si>
    <t>Dashboard.tsx (sección Estado de la Flota)</t>
  </si>
  <si>
    <t>Dashboard.fetchData() / Reports.fetchData()</t>
  </si>
  <si>
    <t>Filtrar los indicadores</t>
  </si>
  <si>
    <t>El administrador podrá acotar los indicadores a un conductor específico o a un periodo determinado.</t>
  </si>
  <si>
    <t>Filtrar los indicadores por conductor y por rango de fechas</t>
  </si>
  <si>
    <t>Dashboard.tsx · Reports.tsx (parámetros driverId, startDate, endDate)</t>
  </si>
  <si>
    <t>ReportController.getOrdersSummary() / getDriverPerformance() / getRouteEfficiency()</t>
  </si>
  <si>
    <t>Consultar los reportes de operación</t>
  </si>
  <si>
    <t>El administrador podrá consultar reportes consolidados del desempeño de la operación.</t>
  </si>
  <si>
    <t>Consultar el resumen de pedidos, el rendimiento por conductor y la eficiencia por distrito</t>
  </si>
  <si>
    <t>ReportController.java (/reports/orders-summary, driver-performance, route-efficiency)</t>
  </si>
  <si>
    <t>Reports.handleExportCsv()</t>
  </si>
  <si>
    <t>Exportar reportes a CSV</t>
  </si>
  <si>
    <t>El administrador podrá descargar en CSV la información del reporte que está consultando.</t>
  </si>
  <si>
    <t>Exportar los reportes consultados a un archivo CSV</t>
  </si>
  <si>
    <t>web-admin/src/pages/Reports.tsx</t>
  </si>
  <si>
    <t>PurchaseController.createPurchase()</t>
  </si>
  <si>
    <t>Registrar compra</t>
  </si>
  <si>
    <t>El administrador podrá registrar una compra asociada a la operación logística.</t>
  </si>
  <si>
    <t>Compras y adquisiciones</t>
  </si>
  <si>
    <t>Registrar las compras y adquisiciones de la operación</t>
  </si>
  <si>
    <t>PurchaseController.java · web-admin/src/pages/Purchases.tsx</t>
  </si>
  <si>
    <t>PurchaseController.getAllPurchases()</t>
  </si>
  <si>
    <t>Consultar listado de compras</t>
  </si>
  <si>
    <t>El administrador podrá consultar las compras registradas con navegación por páginas.</t>
  </si>
  <si>
    <t>Consultar el listado de compras registradas de forma paginada</t>
  </si>
  <si>
    <t>PurchaseController.java (GET /purchases) · Purchases.tsx</t>
  </si>
  <si>
    <t>PurchaseController.updatePurchase()</t>
  </si>
  <si>
    <t>Modificar compra</t>
  </si>
  <si>
    <t>El administrador podrá corregir los datos de una compra ya registrada.</t>
  </si>
  <si>
    <t>Modificar una compra registrada</t>
  </si>
  <si>
    <t>PurchaseController.java (PUT /purchases/{id})</t>
  </si>
  <si>
    <t>PurchaseController.deletePurchase()</t>
  </si>
  <si>
    <t>Eliminar compra</t>
  </si>
  <si>
    <t>El administrador podrá eliminar una compra registrada por error.</t>
  </si>
  <si>
    <t>Eliminar una compra registrada</t>
  </si>
  <si>
    <t>PurchaseController.java (DELETE /purchases/{id})</t>
  </si>
  <si>
    <t>KpiReportService.getIndicator()</t>
  </si>
  <si>
    <t>Calcular los indicadores de gestión de la empresa</t>
  </si>
  <si>
    <t>El sistema calculará la integridad de los datos registrados, el cumplimiento de la hoja de ruta y la disponibilidad de evidencias digitales para el periodo seleccionado.</t>
  </si>
  <si>
    <t>Inteligencia de negocios avanzada</t>
  </si>
  <si>
    <t>Calcular los indicadores IID, CHR y TDE para un rango de fechas</t>
  </si>
  <si>
    <t>Indicadores definidos con la empresa cliente para medir la mejora del proceso administrativo.</t>
  </si>
  <si>
    <t>DashboardController.getIndicatorTrend()</t>
  </si>
  <si>
    <t>Comparar los indicadores entre periodos</t>
  </si>
  <si>
    <t>El administrador podrá comparar el valor de cada indicador entre semanas o meses para identificar si la operación mejora o se deteriora.</t>
  </si>
  <si>
    <t>Mostrar la evolución de los indicadores a lo largo del tiempo</t>
  </si>
  <si>
    <t>Sin serie temporal no es posible sustentar la mejora continua.</t>
  </si>
  <si>
    <t>DashboardController.getGoalCompliance()</t>
  </si>
  <si>
    <t>Definir metas y medir su cumplimiento</t>
  </si>
  <si>
    <t>El administrador podrá establecer el valor objetivo de cada indicador y el sistema mostrará la desviación respecto de la meta.</t>
  </si>
  <si>
    <t>Configurar la meta de cada indicador y contrastar el resultado</t>
  </si>
  <si>
    <t>Un indicador sin meta no permite decidir si el resultado es aceptable.</t>
  </si>
  <si>
    <t>OrderController.updateStatus() (motivo)</t>
  </si>
  <si>
    <t>Registrar el motivo de la no entrega</t>
  </si>
  <si>
    <t>El conductor seleccionará de una lista el motivo de la no entrega y el sistema lo asociará al pedido para su análisis posterior.</t>
  </si>
  <si>
    <t>Registrar el motivo por el que un pedido no se entregó</t>
  </si>
  <si>
    <t>Habilita el análisis de causas: hoy se sabe cuántas entregas fallan, pero no por qué.</t>
  </si>
  <si>
    <t>ReportController.getFailureAnalysis()</t>
  </si>
  <si>
    <t>Analizar las causas de las entregas no concretadas</t>
  </si>
  <si>
    <t>El administrador podrá ver qué motivos concentran las entregas fallidas y en qué zonas o conductores se presentan con mayor frecuencia.</t>
  </si>
  <si>
    <t>Consultar la distribución de los motivos de no entrega</t>
  </si>
  <si>
    <t>Depende del registro de motivos de no entrega.</t>
  </si>
  <si>
    <t>ReportController.getEfficiencyMetrics()</t>
  </si>
  <si>
    <t>Medir la eficiencia del recorrido</t>
  </si>
  <si>
    <t>El sistema calculará cuántos kilómetros y cuánto tiempo demanda cada entrega, para evaluar el rendimiento de las rutas planificadas.</t>
  </si>
  <si>
    <t>Calcular los kilómetros por entrega y el tiempo promedio por parada</t>
  </si>
  <si>
    <t>Métricas que permiten cuantificar el ahorro obtenido con la optimización de rutas.</t>
  </si>
  <si>
    <t>Vistas analíticas en PostgreSQL</t>
  </si>
  <si>
    <t>Exponer los datos para herramientas de inteligencia de negocios</t>
  </si>
  <si>
    <t>El sistema expondrá vistas de solo lectura con la información consolidada, de modo que una herramienta externa de inteligencia de negocios pueda conectarse directamente sin exportaciones manuales.</t>
  </si>
  <si>
    <t>Publicar vistas de solo lectura para su consumo desde Power BI</t>
  </si>
  <si>
    <t>Alternativa recomendada frente a la exportación CSV, que obliga a repetir la carga a mano.</t>
  </si>
  <si>
    <t>Requerimientos funcionales por módulo</t>
  </si>
  <si>
    <t>Levantamiento derivado del sistema construido (rama feature/ws1-auth-real).</t>
  </si>
  <si>
    <t>Requerimientos</t>
  </si>
  <si>
    <t>Total</t>
  </si>
  <si>
    <t>Por actor</t>
  </si>
  <si>
    <t>Nota</t>
  </si>
  <si>
    <t>Un requerimiento compartido por varios roles se cuenta en cada uno, por lo que la suma supera el total.</t>
  </si>
  <si>
    <t>Cómo se construyó este listado</t>
  </si>
  <si>
    <t>Origen</t>
  </si>
  <si>
    <t>Cada requerimiento se derivó de una funcionalidad verificada en el código del proyecto y en la ejecución del sistema, no de un listado teórico. La columna 'Verificación en el sistema' indica el archivo o endpoint donde se comprueba.</t>
  </si>
  <si>
    <t>Columnas A-F</t>
  </si>
  <si>
    <t>Corresponden a la plantilla del curso. Las columnas G-J (cabecera verde) son trazabilidad técnica y pueden ocultarse si la entrega no las pide.</t>
  </si>
  <si>
    <t>Nombre real de la función, método o componente que implementa el requerimiento en el código.</t>
  </si>
  <si>
    <t>Enunciado del requerimiento en lenguaje natural.</t>
  </si>
  <si>
    <t>Autor del levantamiento. Todas las filas figuran a nombre de Nicolás Santillán: si el trabajo es grupal, hay que repartir esta columna.</t>
  </si>
  <si>
    <t>Enunciado corto normalizado (verbo en infinitivo más objeto). Cuando dos integrantes propongan lo mismo, en la fila repetida se escribe 'Duplicado'.</t>
  </si>
  <si>
    <t>Número del módulo funcional al que pertenece el requerimiento.</t>
  </si>
  <si>
    <t>Lo que hará el sistema o el usuario, redactado en futuro.</t>
  </si>
  <si>
    <t>Rol que ejecuta el requerimiento. 'Sistema (automático)' identifica los que ocurren sin intervención del usuario.</t>
  </si>
  <si>
    <t>Restricción, dependencia externa o defecto conocido. Las celdas resaltadas son las que tienen algo anotado.</t>
  </si>
  <si>
    <t>Fecha del levantamiento</t>
  </si>
  <si>
    <t>25 de agosto de 2026, sobre la rama feature/ws1-auth-real.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</si>
</sst>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sz val="9"/>
      <name val="Consolas"/>
    </font>
    <font>
      <b/>
      <sz val="12"/>
      <name val="Arial"/>
    </font>
    <font>
      <i/>
      <sz val="10"/>
      <name val="Arial"/>
    </font>
    <font>
      <b/>
      <sz val="11"/>
      <name val="Arial"/>
    </font>
    <font>
      <b/>
      <sz val="9"/>
      <name val="Arial"/>
    </font>
    <font>
      <i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0B050"/>
      </patternFill>
    </fill>
    <fill>
      <patternFill patternType="solid">
        <fgColor rgb="FFFFF2CC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4" fillId="0" borderId="0" xfId="0" applyFont="1"/>
    <xf numFmtId="0" fontId="5" fillId="0" borderId="0" xfId="0" applyFont="1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 applyAlignment="1">
      <alignment vertical="top" wrapText="1"/>
    </xf>
    <xf numFmtId="0" fontId="2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5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5" customWidth="1"/>
    <col min="2" max="2" width="46" customWidth="1"/>
    <col min="3" max="3" width="18" customWidth="1"/>
    <col min="4" max="4" width="34" customWidth="1"/>
    <col min="5" max="5" width="7" customWidth="1"/>
    <col min="6" max="6" width="56" customWidth="1"/>
    <col min="7" max="7" width="26" customWidth="1"/>
    <col min="8" max="8" width="20" customWidth="1"/>
    <col min="9" max="9" width="48" customWidth="1"/>
    <col min="10" max="11" width="44" customWidth="1"/>
  </cols>
  <sheetData>
    <row r="1" spans="1:1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5.5" customHeight="1" x14ac:dyDescent="0.25">
      <c r="A2" s="3">
        <v>1</v>
      </c>
      <c r="B2" s="4" t="s">
        <v>11</v>
      </c>
      <c r="C2" s="5" t="s">
        <v>12</v>
      </c>
      <c r="D2" s="6" t="s">
        <v>13</v>
      </c>
      <c r="E2" s="3">
        <v>1</v>
      </c>
      <c r="F2" s="6" t="s">
        <v>14</v>
      </c>
      <c r="G2" s="6" t="s">
        <v>15</v>
      </c>
      <c r="H2" s="5" t="s">
        <v>16</v>
      </c>
      <c r="I2" s="6" t="s">
        <v>17</v>
      </c>
      <c r="J2" s="6" t="s">
        <v>18</v>
      </c>
      <c r="K2" s="7" t="s">
        <v>19</v>
      </c>
    </row>
    <row r="3" spans="1:11" ht="38.25" customHeight="1" x14ac:dyDescent="0.25">
      <c r="A3" s="3">
        <v>2</v>
      </c>
      <c r="B3" s="4" t="s">
        <v>20</v>
      </c>
      <c r="C3" s="5" t="s">
        <v>12</v>
      </c>
      <c r="D3" s="6" t="s">
        <v>21</v>
      </c>
      <c r="E3" s="3">
        <v>1</v>
      </c>
      <c r="F3" s="6" t="s">
        <v>22</v>
      </c>
      <c r="G3" s="6" t="s">
        <v>15</v>
      </c>
      <c r="H3" s="5" t="s">
        <v>23</v>
      </c>
      <c r="I3" s="6" t="s">
        <v>24</v>
      </c>
      <c r="J3" s="6" t="s">
        <v>25</v>
      </c>
      <c r="K3" s="7" t="s">
        <v>26</v>
      </c>
    </row>
    <row r="4" spans="1:11" ht="25.5" customHeight="1" x14ac:dyDescent="0.25">
      <c r="A4" s="3">
        <v>3</v>
      </c>
      <c r="B4" s="4" t="s">
        <v>27</v>
      </c>
      <c r="C4" s="5" t="s">
        <v>12</v>
      </c>
      <c r="D4" s="6" t="s">
        <v>28</v>
      </c>
      <c r="E4" s="3">
        <v>1</v>
      </c>
      <c r="F4" s="6" t="s">
        <v>29</v>
      </c>
      <c r="G4" s="6" t="s">
        <v>15</v>
      </c>
      <c r="H4" s="5" t="s">
        <v>30</v>
      </c>
      <c r="I4" s="6" t="s">
        <v>31</v>
      </c>
      <c r="J4" s="6" t="s">
        <v>32</v>
      </c>
      <c r="K4" s="7" t="s">
        <v>33</v>
      </c>
    </row>
    <row r="5" spans="1:11" ht="38.25" customHeight="1" x14ac:dyDescent="0.25">
      <c r="A5" s="3">
        <v>4</v>
      </c>
      <c r="B5" s="4" t="s">
        <v>34</v>
      </c>
      <c r="C5" s="5" t="s">
        <v>12</v>
      </c>
      <c r="D5" s="6" t="s">
        <v>35</v>
      </c>
      <c r="E5" s="3">
        <v>1</v>
      </c>
      <c r="F5" s="6" t="s">
        <v>36</v>
      </c>
      <c r="G5" s="6" t="s">
        <v>15</v>
      </c>
      <c r="H5" s="5" t="s">
        <v>23</v>
      </c>
      <c r="I5" s="6" t="s">
        <v>37</v>
      </c>
      <c r="J5" s="6" t="s">
        <v>38</v>
      </c>
      <c r="K5" s="6"/>
    </row>
    <row r="6" spans="1:11" ht="25.5" customHeight="1" x14ac:dyDescent="0.25">
      <c r="A6" s="3">
        <v>5</v>
      </c>
      <c r="B6" s="4" t="s">
        <v>39</v>
      </c>
      <c r="C6" s="5" t="s">
        <v>12</v>
      </c>
      <c r="D6" s="6" t="s">
        <v>40</v>
      </c>
      <c r="E6" s="3">
        <v>1</v>
      </c>
      <c r="F6" s="6" t="s">
        <v>41</v>
      </c>
      <c r="G6" s="6" t="s">
        <v>15</v>
      </c>
      <c r="H6" s="5" t="s">
        <v>42</v>
      </c>
      <c r="I6" s="6" t="s">
        <v>43</v>
      </c>
      <c r="J6" s="6" t="s">
        <v>44</v>
      </c>
      <c r="K6" s="6"/>
    </row>
    <row r="7" spans="1:11" ht="38.25" customHeight="1" x14ac:dyDescent="0.25">
      <c r="A7" s="3">
        <v>6</v>
      </c>
      <c r="B7" s="4" t="s">
        <v>45</v>
      </c>
      <c r="C7" s="5" t="s">
        <v>12</v>
      </c>
      <c r="D7" s="6" t="s">
        <v>46</v>
      </c>
      <c r="E7" s="3">
        <v>1</v>
      </c>
      <c r="F7" s="6" t="s">
        <v>47</v>
      </c>
      <c r="G7" s="6" t="s">
        <v>15</v>
      </c>
      <c r="H7" s="5" t="s">
        <v>30</v>
      </c>
      <c r="I7" s="6" t="s">
        <v>48</v>
      </c>
      <c r="J7" s="6" t="s">
        <v>49</v>
      </c>
      <c r="K7" s="7" t="s">
        <v>50</v>
      </c>
    </row>
    <row r="8" spans="1:11" ht="38.25" customHeight="1" x14ac:dyDescent="0.25">
      <c r="A8" s="3">
        <v>7</v>
      </c>
      <c r="B8" s="4" t="s">
        <v>51</v>
      </c>
      <c r="C8" s="5" t="s">
        <v>12</v>
      </c>
      <c r="D8" s="6" t="s">
        <v>52</v>
      </c>
      <c r="E8" s="3">
        <v>1</v>
      </c>
      <c r="F8" s="6" t="s">
        <v>53</v>
      </c>
      <c r="G8" s="6" t="s">
        <v>15</v>
      </c>
      <c r="H8" s="5" t="s">
        <v>54</v>
      </c>
      <c r="I8" s="6" t="s">
        <v>55</v>
      </c>
      <c r="J8" s="6" t="s">
        <v>56</v>
      </c>
      <c r="K8" s="7" t="s">
        <v>57</v>
      </c>
    </row>
    <row r="9" spans="1:11" ht="25.5" customHeight="1" x14ac:dyDescent="0.25">
      <c r="A9" s="3">
        <v>8</v>
      </c>
      <c r="B9" s="4" t="s">
        <v>58</v>
      </c>
      <c r="C9" s="5" t="s">
        <v>12</v>
      </c>
      <c r="D9" s="6" t="s">
        <v>59</v>
      </c>
      <c r="E9" s="3">
        <v>1</v>
      </c>
      <c r="F9" s="6" t="s">
        <v>60</v>
      </c>
      <c r="G9" s="6" t="s">
        <v>15</v>
      </c>
      <c r="H9" s="5" t="s">
        <v>30</v>
      </c>
      <c r="I9" s="6" t="s">
        <v>61</v>
      </c>
      <c r="J9" s="6" t="s">
        <v>62</v>
      </c>
      <c r="K9" s="7" t="s">
        <v>63</v>
      </c>
    </row>
    <row r="10" spans="1:11" ht="38.25" customHeight="1" x14ac:dyDescent="0.25">
      <c r="A10" s="3">
        <v>9</v>
      </c>
      <c r="B10" s="4" t="s">
        <v>64</v>
      </c>
      <c r="C10" s="5" t="s">
        <v>12</v>
      </c>
      <c r="D10" s="6" t="s">
        <v>65</v>
      </c>
      <c r="E10" s="3">
        <v>2</v>
      </c>
      <c r="F10" s="6" t="s">
        <v>66</v>
      </c>
      <c r="G10" s="6" t="s">
        <v>67</v>
      </c>
      <c r="H10" s="5" t="s">
        <v>54</v>
      </c>
      <c r="I10" s="6" t="s">
        <v>68</v>
      </c>
      <c r="J10" s="6" t="s">
        <v>69</v>
      </c>
      <c r="K10" s="7" t="s">
        <v>70</v>
      </c>
    </row>
    <row r="11" spans="1:11" ht="25.5" customHeight="1" x14ac:dyDescent="0.25">
      <c r="A11" s="3">
        <v>10</v>
      </c>
      <c r="B11" s="4" t="s">
        <v>71</v>
      </c>
      <c r="C11" s="5" t="s">
        <v>12</v>
      </c>
      <c r="D11" s="6" t="s">
        <v>72</v>
      </c>
      <c r="E11" s="3">
        <v>2</v>
      </c>
      <c r="F11" s="6" t="s">
        <v>73</v>
      </c>
      <c r="G11" s="6" t="s">
        <v>67</v>
      </c>
      <c r="H11" s="5" t="s">
        <v>54</v>
      </c>
      <c r="I11" s="6" t="s">
        <v>74</v>
      </c>
      <c r="J11" s="6" t="s">
        <v>75</v>
      </c>
      <c r="K11" s="6"/>
    </row>
    <row r="12" spans="1:11" ht="25.5" customHeight="1" x14ac:dyDescent="0.25">
      <c r="A12" s="3">
        <v>11</v>
      </c>
      <c r="B12" s="4" t="s">
        <v>76</v>
      </c>
      <c r="C12" s="5" t="s">
        <v>12</v>
      </c>
      <c r="D12" s="6" t="s">
        <v>77</v>
      </c>
      <c r="E12" s="3">
        <v>2</v>
      </c>
      <c r="F12" s="6" t="s">
        <v>78</v>
      </c>
      <c r="G12" s="6" t="s">
        <v>67</v>
      </c>
      <c r="H12" s="5" t="s">
        <v>54</v>
      </c>
      <c r="I12" s="6" t="s">
        <v>79</v>
      </c>
      <c r="J12" s="6" t="s">
        <v>80</v>
      </c>
      <c r="K12" s="6"/>
    </row>
    <row r="13" spans="1:11" ht="25.5" customHeight="1" x14ac:dyDescent="0.25">
      <c r="A13" s="3">
        <v>12</v>
      </c>
      <c r="B13" s="4" t="s">
        <v>81</v>
      </c>
      <c r="C13" s="5" t="s">
        <v>12</v>
      </c>
      <c r="D13" s="6" t="s">
        <v>82</v>
      </c>
      <c r="E13" s="3">
        <v>2</v>
      </c>
      <c r="F13" s="6" t="s">
        <v>83</v>
      </c>
      <c r="G13" s="6" t="s">
        <v>67</v>
      </c>
      <c r="H13" s="5" t="s">
        <v>54</v>
      </c>
      <c r="I13" s="6" t="s">
        <v>84</v>
      </c>
      <c r="J13" s="6" t="s">
        <v>85</v>
      </c>
      <c r="K13" s="6"/>
    </row>
    <row r="14" spans="1:11" ht="25.5" customHeight="1" x14ac:dyDescent="0.25">
      <c r="A14" s="3">
        <v>13</v>
      </c>
      <c r="B14" s="4" t="s">
        <v>86</v>
      </c>
      <c r="C14" s="5" t="s">
        <v>12</v>
      </c>
      <c r="D14" s="6" t="s">
        <v>87</v>
      </c>
      <c r="E14" s="3">
        <v>3</v>
      </c>
      <c r="F14" s="6" t="s">
        <v>88</v>
      </c>
      <c r="G14" s="6" t="s">
        <v>89</v>
      </c>
      <c r="H14" s="5" t="s">
        <v>54</v>
      </c>
      <c r="I14" s="6" t="s">
        <v>90</v>
      </c>
      <c r="J14" s="6" t="s">
        <v>91</v>
      </c>
      <c r="K14" s="7" t="s">
        <v>92</v>
      </c>
    </row>
    <row r="15" spans="1:11" ht="25.5" customHeight="1" x14ac:dyDescent="0.25">
      <c r="A15" s="3">
        <v>14</v>
      </c>
      <c r="B15" s="4" t="s">
        <v>93</v>
      </c>
      <c r="C15" s="5" t="s">
        <v>12</v>
      </c>
      <c r="D15" s="6" t="s">
        <v>94</v>
      </c>
      <c r="E15" s="3">
        <v>3</v>
      </c>
      <c r="F15" s="6" t="s">
        <v>95</v>
      </c>
      <c r="G15" s="6" t="s">
        <v>89</v>
      </c>
      <c r="H15" s="5" t="s">
        <v>54</v>
      </c>
      <c r="I15" s="6" t="s">
        <v>96</v>
      </c>
      <c r="J15" s="6" t="s">
        <v>97</v>
      </c>
      <c r="K15" s="6"/>
    </row>
    <row r="16" spans="1:11" ht="25.5" customHeight="1" x14ac:dyDescent="0.25">
      <c r="A16" s="3">
        <v>15</v>
      </c>
      <c r="B16" s="4" t="s">
        <v>98</v>
      </c>
      <c r="C16" s="5" t="s">
        <v>12</v>
      </c>
      <c r="D16" s="6" t="s">
        <v>99</v>
      </c>
      <c r="E16" s="3">
        <v>3</v>
      </c>
      <c r="F16" s="6" t="s">
        <v>100</v>
      </c>
      <c r="G16" s="6" t="s">
        <v>89</v>
      </c>
      <c r="H16" s="5" t="s">
        <v>54</v>
      </c>
      <c r="I16" s="6" t="s">
        <v>101</v>
      </c>
      <c r="J16" s="6" t="s">
        <v>102</v>
      </c>
      <c r="K16" s="6"/>
    </row>
    <row r="17" spans="1:11" ht="25.5" customHeight="1" x14ac:dyDescent="0.25">
      <c r="A17" s="3">
        <v>16</v>
      </c>
      <c r="B17" s="4" t="s">
        <v>103</v>
      </c>
      <c r="C17" s="5" t="s">
        <v>12</v>
      </c>
      <c r="D17" s="6" t="s">
        <v>104</v>
      </c>
      <c r="E17" s="3">
        <v>3</v>
      </c>
      <c r="F17" s="6" t="s">
        <v>105</v>
      </c>
      <c r="G17" s="6" t="s">
        <v>89</v>
      </c>
      <c r="H17" s="5" t="s">
        <v>54</v>
      </c>
      <c r="I17" s="6" t="s">
        <v>106</v>
      </c>
      <c r="J17" s="6" t="s">
        <v>107</v>
      </c>
      <c r="K17" s="6"/>
    </row>
    <row r="18" spans="1:11" ht="25.5" customHeight="1" x14ac:dyDescent="0.25">
      <c r="A18" s="3">
        <v>17</v>
      </c>
      <c r="B18" s="4" t="s">
        <v>108</v>
      </c>
      <c r="C18" s="5" t="s">
        <v>12</v>
      </c>
      <c r="D18" s="6" t="s">
        <v>109</v>
      </c>
      <c r="E18" s="3">
        <v>4</v>
      </c>
      <c r="F18" s="6" t="s">
        <v>110</v>
      </c>
      <c r="G18" s="6" t="s">
        <v>111</v>
      </c>
      <c r="H18" s="5" t="s">
        <v>112</v>
      </c>
      <c r="I18" s="6" t="s">
        <v>113</v>
      </c>
      <c r="J18" s="6" t="s">
        <v>114</v>
      </c>
      <c r="K18" s="7" t="s">
        <v>115</v>
      </c>
    </row>
    <row r="19" spans="1:11" ht="38.25" customHeight="1" x14ac:dyDescent="0.25">
      <c r="A19" s="3">
        <v>18</v>
      </c>
      <c r="B19" s="4" t="s">
        <v>116</v>
      </c>
      <c r="C19" s="5" t="s">
        <v>12</v>
      </c>
      <c r="D19" s="6" t="s">
        <v>117</v>
      </c>
      <c r="E19" s="3">
        <v>4</v>
      </c>
      <c r="F19" s="6" t="s">
        <v>118</v>
      </c>
      <c r="G19" s="6" t="s">
        <v>111</v>
      </c>
      <c r="H19" s="5" t="s">
        <v>30</v>
      </c>
      <c r="I19" s="6" t="s">
        <v>119</v>
      </c>
      <c r="J19" s="6" t="s">
        <v>120</v>
      </c>
      <c r="K19" s="7" t="s">
        <v>121</v>
      </c>
    </row>
    <row r="20" spans="1:11" ht="25.5" customHeight="1" x14ac:dyDescent="0.25">
      <c r="A20" s="3">
        <v>19</v>
      </c>
      <c r="B20" s="4" t="s">
        <v>122</v>
      </c>
      <c r="C20" s="5" t="s">
        <v>12</v>
      </c>
      <c r="D20" s="6" t="s">
        <v>123</v>
      </c>
      <c r="E20" s="3">
        <v>4</v>
      </c>
      <c r="F20" s="6" t="s">
        <v>124</v>
      </c>
      <c r="G20" s="6" t="s">
        <v>111</v>
      </c>
      <c r="H20" s="5" t="s">
        <v>112</v>
      </c>
      <c r="I20" s="6" t="s">
        <v>125</v>
      </c>
      <c r="J20" s="6" t="s">
        <v>126</v>
      </c>
      <c r="K20" s="7" t="s">
        <v>127</v>
      </c>
    </row>
    <row r="21" spans="1:11" ht="25.5" customHeight="1" x14ac:dyDescent="0.25">
      <c r="A21" s="3">
        <v>20</v>
      </c>
      <c r="B21" s="4" t="s">
        <v>128</v>
      </c>
      <c r="C21" s="5" t="s">
        <v>12</v>
      </c>
      <c r="D21" s="6" t="s">
        <v>129</v>
      </c>
      <c r="E21" s="3">
        <v>4</v>
      </c>
      <c r="F21" s="6" t="s">
        <v>130</v>
      </c>
      <c r="G21" s="6" t="s">
        <v>111</v>
      </c>
      <c r="H21" s="5" t="s">
        <v>112</v>
      </c>
      <c r="I21" s="6" t="s">
        <v>131</v>
      </c>
      <c r="J21" s="6" t="s">
        <v>132</v>
      </c>
      <c r="K21" s="7" t="s">
        <v>133</v>
      </c>
    </row>
    <row r="22" spans="1:11" ht="25.5" customHeight="1" x14ac:dyDescent="0.25">
      <c r="A22" s="3">
        <v>21</v>
      </c>
      <c r="B22" s="4" t="s">
        <v>134</v>
      </c>
      <c r="C22" s="5" t="s">
        <v>12</v>
      </c>
      <c r="D22" s="6" t="s">
        <v>135</v>
      </c>
      <c r="E22" s="3">
        <v>4</v>
      </c>
      <c r="F22" s="6" t="s">
        <v>136</v>
      </c>
      <c r="G22" s="6" t="s">
        <v>111</v>
      </c>
      <c r="H22" s="5" t="s">
        <v>112</v>
      </c>
      <c r="I22" s="6" t="s">
        <v>137</v>
      </c>
      <c r="J22" s="6" t="s">
        <v>138</v>
      </c>
      <c r="K22" s="6"/>
    </row>
    <row r="23" spans="1:11" ht="25.5" customHeight="1" x14ac:dyDescent="0.25">
      <c r="A23" s="3">
        <v>22</v>
      </c>
      <c r="B23" s="4" t="s">
        <v>139</v>
      </c>
      <c r="C23" s="5" t="s">
        <v>12</v>
      </c>
      <c r="D23" s="6" t="s">
        <v>140</v>
      </c>
      <c r="E23" s="3">
        <v>4</v>
      </c>
      <c r="F23" s="6" t="s">
        <v>141</v>
      </c>
      <c r="G23" s="6" t="s">
        <v>111</v>
      </c>
      <c r="H23" s="5" t="s">
        <v>16</v>
      </c>
      <c r="I23" s="6" t="s">
        <v>142</v>
      </c>
      <c r="J23" s="6" t="s">
        <v>143</v>
      </c>
      <c r="K23" s="6"/>
    </row>
    <row r="24" spans="1:11" ht="38.25" customHeight="1" x14ac:dyDescent="0.25">
      <c r="A24" s="3">
        <v>23</v>
      </c>
      <c r="B24" s="4" t="s">
        <v>144</v>
      </c>
      <c r="C24" s="5" t="s">
        <v>12</v>
      </c>
      <c r="D24" s="6" t="s">
        <v>145</v>
      </c>
      <c r="E24" s="3">
        <v>4</v>
      </c>
      <c r="F24" s="6" t="s">
        <v>146</v>
      </c>
      <c r="G24" s="6" t="s">
        <v>111</v>
      </c>
      <c r="H24" s="5" t="s">
        <v>147</v>
      </c>
      <c r="I24" s="6" t="s">
        <v>148</v>
      </c>
      <c r="J24" s="6" t="s">
        <v>149</v>
      </c>
      <c r="K24" s="7" t="s">
        <v>150</v>
      </c>
    </row>
    <row r="25" spans="1:11" ht="25.5" customHeight="1" x14ac:dyDescent="0.25">
      <c r="A25" s="3">
        <v>24</v>
      </c>
      <c r="B25" s="4" t="s">
        <v>151</v>
      </c>
      <c r="C25" s="5" t="s">
        <v>12</v>
      </c>
      <c r="D25" s="6" t="s">
        <v>152</v>
      </c>
      <c r="E25" s="3">
        <v>4</v>
      </c>
      <c r="F25" s="6" t="s">
        <v>153</v>
      </c>
      <c r="G25" s="6" t="s">
        <v>111</v>
      </c>
      <c r="H25" s="5" t="s">
        <v>112</v>
      </c>
      <c r="I25" s="6" t="s">
        <v>154</v>
      </c>
      <c r="J25" s="6" t="s">
        <v>155</v>
      </c>
      <c r="K25" s="6"/>
    </row>
    <row r="26" spans="1:11" ht="25.5" customHeight="1" x14ac:dyDescent="0.25">
      <c r="A26" s="3">
        <v>25</v>
      </c>
      <c r="B26" s="4" t="s">
        <v>156</v>
      </c>
      <c r="C26" s="5" t="s">
        <v>12</v>
      </c>
      <c r="D26" s="6" t="s">
        <v>157</v>
      </c>
      <c r="E26" s="3">
        <v>4</v>
      </c>
      <c r="F26" s="6" t="s">
        <v>158</v>
      </c>
      <c r="G26" s="6" t="s">
        <v>111</v>
      </c>
      <c r="H26" s="5" t="s">
        <v>16</v>
      </c>
      <c r="I26" s="6" t="s">
        <v>159</v>
      </c>
      <c r="J26" s="6" t="s">
        <v>160</v>
      </c>
      <c r="K26" s="6"/>
    </row>
    <row r="27" spans="1:11" ht="25.5" customHeight="1" x14ac:dyDescent="0.25">
      <c r="A27" s="3">
        <v>26</v>
      </c>
      <c r="B27" s="4" t="s">
        <v>161</v>
      </c>
      <c r="C27" s="5" t="s">
        <v>12</v>
      </c>
      <c r="D27" s="6" t="s">
        <v>162</v>
      </c>
      <c r="E27" s="3">
        <v>5</v>
      </c>
      <c r="F27" s="6" t="s">
        <v>163</v>
      </c>
      <c r="G27" s="6" t="s">
        <v>164</v>
      </c>
      <c r="H27" s="5" t="s">
        <v>112</v>
      </c>
      <c r="I27" s="6" t="s">
        <v>165</v>
      </c>
      <c r="J27" s="6" t="s">
        <v>166</v>
      </c>
      <c r="K27" s="6"/>
    </row>
    <row r="28" spans="1:11" ht="25.5" customHeight="1" x14ac:dyDescent="0.25">
      <c r="A28" s="3">
        <v>27</v>
      </c>
      <c r="B28" s="4" t="s">
        <v>167</v>
      </c>
      <c r="C28" s="5" t="s">
        <v>12</v>
      </c>
      <c r="D28" s="6" t="s">
        <v>168</v>
      </c>
      <c r="E28" s="3">
        <v>5</v>
      </c>
      <c r="F28" s="6" t="s">
        <v>169</v>
      </c>
      <c r="G28" s="6" t="s">
        <v>164</v>
      </c>
      <c r="H28" s="5" t="s">
        <v>30</v>
      </c>
      <c r="I28" s="6" t="s">
        <v>170</v>
      </c>
      <c r="J28" s="6" t="s">
        <v>167</v>
      </c>
      <c r="K28" s="7" t="s">
        <v>171</v>
      </c>
    </row>
    <row r="29" spans="1:11" ht="25.5" customHeight="1" x14ac:dyDescent="0.25">
      <c r="A29" s="3">
        <v>28</v>
      </c>
      <c r="B29" s="4" t="s">
        <v>172</v>
      </c>
      <c r="C29" s="5" t="s">
        <v>12</v>
      </c>
      <c r="D29" s="6" t="s">
        <v>173</v>
      </c>
      <c r="E29" s="3">
        <v>5</v>
      </c>
      <c r="F29" s="6" t="s">
        <v>174</v>
      </c>
      <c r="G29" s="6" t="s">
        <v>164</v>
      </c>
      <c r="H29" s="5" t="s">
        <v>112</v>
      </c>
      <c r="I29" s="6" t="s">
        <v>175</v>
      </c>
      <c r="J29" s="6" t="s">
        <v>176</v>
      </c>
      <c r="K29" s="6"/>
    </row>
    <row r="30" spans="1:11" ht="25.5" customHeight="1" x14ac:dyDescent="0.25">
      <c r="A30" s="3">
        <v>29</v>
      </c>
      <c r="B30" s="4" t="s">
        <v>177</v>
      </c>
      <c r="C30" s="5" t="s">
        <v>12</v>
      </c>
      <c r="D30" s="6" t="s">
        <v>178</v>
      </c>
      <c r="E30" s="3">
        <v>5</v>
      </c>
      <c r="F30" s="6" t="s">
        <v>179</v>
      </c>
      <c r="G30" s="6" t="s">
        <v>164</v>
      </c>
      <c r="H30" s="5" t="s">
        <v>112</v>
      </c>
      <c r="I30" s="6" t="s">
        <v>180</v>
      </c>
      <c r="J30" s="6" t="s">
        <v>181</v>
      </c>
      <c r="K30" s="6"/>
    </row>
    <row r="31" spans="1:11" ht="25.5" customHeight="1" x14ac:dyDescent="0.25">
      <c r="A31" s="3">
        <v>30</v>
      </c>
      <c r="B31" s="4" t="s">
        <v>182</v>
      </c>
      <c r="C31" s="5" t="s">
        <v>12</v>
      </c>
      <c r="D31" s="6" t="s">
        <v>183</v>
      </c>
      <c r="E31" s="3">
        <v>5</v>
      </c>
      <c r="F31" s="6" t="s">
        <v>184</v>
      </c>
      <c r="G31" s="6" t="s">
        <v>164</v>
      </c>
      <c r="H31" s="5" t="s">
        <v>30</v>
      </c>
      <c r="I31" s="6" t="s">
        <v>185</v>
      </c>
      <c r="J31" s="6" t="s">
        <v>182</v>
      </c>
      <c r="K31" s="6"/>
    </row>
    <row r="32" spans="1:11" ht="25.5" customHeight="1" x14ac:dyDescent="0.25">
      <c r="A32" s="3">
        <v>31</v>
      </c>
      <c r="B32" s="4" t="s">
        <v>186</v>
      </c>
      <c r="C32" s="5" t="s">
        <v>12</v>
      </c>
      <c r="D32" s="6" t="s">
        <v>187</v>
      </c>
      <c r="E32" s="3">
        <v>5</v>
      </c>
      <c r="F32" s="6" t="s">
        <v>188</v>
      </c>
      <c r="G32" s="6" t="s">
        <v>164</v>
      </c>
      <c r="H32" s="5" t="s">
        <v>30</v>
      </c>
      <c r="I32" s="6" t="s">
        <v>189</v>
      </c>
      <c r="J32" s="6" t="s">
        <v>190</v>
      </c>
      <c r="K32" s="7" t="s">
        <v>191</v>
      </c>
    </row>
    <row r="33" spans="1:11" ht="25.5" customHeight="1" x14ac:dyDescent="0.25">
      <c r="A33" s="3">
        <v>32</v>
      </c>
      <c r="B33" s="4" t="s">
        <v>192</v>
      </c>
      <c r="C33" s="5" t="s">
        <v>12</v>
      </c>
      <c r="D33" s="6" t="s">
        <v>193</v>
      </c>
      <c r="E33" s="3">
        <v>5</v>
      </c>
      <c r="F33" s="6" t="s">
        <v>194</v>
      </c>
      <c r="G33" s="6" t="s">
        <v>164</v>
      </c>
      <c r="H33" s="5" t="s">
        <v>112</v>
      </c>
      <c r="I33" s="6" t="s">
        <v>195</v>
      </c>
      <c r="J33" s="6" t="s">
        <v>196</v>
      </c>
      <c r="K33" s="6"/>
    </row>
    <row r="34" spans="1:11" ht="25.5" customHeight="1" x14ac:dyDescent="0.25">
      <c r="A34" s="3">
        <v>33</v>
      </c>
      <c r="B34" s="4" t="s">
        <v>197</v>
      </c>
      <c r="C34" s="5" t="s">
        <v>12</v>
      </c>
      <c r="D34" s="6" t="s">
        <v>198</v>
      </c>
      <c r="E34" s="3">
        <v>6</v>
      </c>
      <c r="F34" s="6" t="s">
        <v>199</v>
      </c>
      <c r="G34" s="6" t="s">
        <v>200</v>
      </c>
      <c r="H34" s="5" t="s">
        <v>30</v>
      </c>
      <c r="I34" s="6" t="s">
        <v>201</v>
      </c>
      <c r="J34" s="6" t="s">
        <v>202</v>
      </c>
      <c r="K34" s="7" t="s">
        <v>203</v>
      </c>
    </row>
    <row r="35" spans="1:11" ht="25.5" customHeight="1" x14ac:dyDescent="0.25">
      <c r="A35" s="3">
        <v>34</v>
      </c>
      <c r="B35" s="4" t="s">
        <v>204</v>
      </c>
      <c r="C35" s="5" t="s">
        <v>12</v>
      </c>
      <c r="D35" s="6" t="s">
        <v>205</v>
      </c>
      <c r="E35" s="3">
        <v>6</v>
      </c>
      <c r="F35" s="6" t="s">
        <v>206</v>
      </c>
      <c r="G35" s="6" t="s">
        <v>200</v>
      </c>
      <c r="H35" s="5" t="s">
        <v>30</v>
      </c>
      <c r="I35" s="6" t="s">
        <v>207</v>
      </c>
      <c r="J35" s="6" t="s">
        <v>208</v>
      </c>
      <c r="K35" s="6"/>
    </row>
    <row r="36" spans="1:11" ht="25.5" customHeight="1" x14ac:dyDescent="0.25">
      <c r="A36" s="3">
        <v>35</v>
      </c>
      <c r="B36" s="4" t="s">
        <v>209</v>
      </c>
      <c r="C36" s="5" t="s">
        <v>12</v>
      </c>
      <c r="D36" s="6" t="s">
        <v>210</v>
      </c>
      <c r="E36" s="3">
        <v>6</v>
      </c>
      <c r="F36" s="6" t="s">
        <v>211</v>
      </c>
      <c r="G36" s="6" t="s">
        <v>200</v>
      </c>
      <c r="H36" s="5" t="s">
        <v>30</v>
      </c>
      <c r="I36" s="6" t="s">
        <v>212</v>
      </c>
      <c r="J36" s="6" t="s">
        <v>213</v>
      </c>
      <c r="K36" s="6"/>
    </row>
    <row r="37" spans="1:11" ht="25.5" customHeight="1" x14ac:dyDescent="0.25">
      <c r="A37" s="3">
        <v>36</v>
      </c>
      <c r="B37" s="4" t="s">
        <v>214</v>
      </c>
      <c r="C37" s="5" t="s">
        <v>12</v>
      </c>
      <c r="D37" s="6" t="s">
        <v>215</v>
      </c>
      <c r="E37" s="3">
        <v>6</v>
      </c>
      <c r="F37" s="6" t="s">
        <v>216</v>
      </c>
      <c r="G37" s="6" t="s">
        <v>200</v>
      </c>
      <c r="H37" s="5" t="s">
        <v>30</v>
      </c>
      <c r="I37" s="6" t="s">
        <v>217</v>
      </c>
      <c r="J37" s="6" t="s">
        <v>218</v>
      </c>
      <c r="K37" s="7" t="s">
        <v>219</v>
      </c>
    </row>
    <row r="38" spans="1:11" ht="38.25" customHeight="1" x14ac:dyDescent="0.25">
      <c r="A38" s="3">
        <v>37</v>
      </c>
      <c r="B38" s="4" t="s">
        <v>220</v>
      </c>
      <c r="C38" s="5" t="s">
        <v>12</v>
      </c>
      <c r="D38" s="6" t="s">
        <v>221</v>
      </c>
      <c r="E38" s="3">
        <v>6</v>
      </c>
      <c r="F38" s="6" t="s">
        <v>222</v>
      </c>
      <c r="G38" s="6" t="s">
        <v>200</v>
      </c>
      <c r="H38" s="5" t="s">
        <v>30</v>
      </c>
      <c r="I38" s="6" t="s">
        <v>223</v>
      </c>
      <c r="J38" s="6" t="s">
        <v>220</v>
      </c>
      <c r="K38" s="7" t="s">
        <v>224</v>
      </c>
    </row>
    <row r="39" spans="1:11" ht="25.5" customHeight="1" x14ac:dyDescent="0.25">
      <c r="A39" s="3">
        <v>38</v>
      </c>
      <c r="B39" s="4" t="s">
        <v>225</v>
      </c>
      <c r="C39" s="5" t="s">
        <v>12</v>
      </c>
      <c r="D39" s="6" t="s">
        <v>226</v>
      </c>
      <c r="E39" s="3">
        <v>7</v>
      </c>
      <c r="F39" s="6" t="s">
        <v>227</v>
      </c>
      <c r="G39" s="6" t="s">
        <v>228</v>
      </c>
      <c r="H39" s="5" t="s">
        <v>23</v>
      </c>
      <c r="I39" s="6" t="s">
        <v>229</v>
      </c>
      <c r="J39" s="6" t="s">
        <v>230</v>
      </c>
      <c r="K39" s="6"/>
    </row>
    <row r="40" spans="1:11" ht="25.5" customHeight="1" x14ac:dyDescent="0.25">
      <c r="A40" s="3">
        <v>39</v>
      </c>
      <c r="B40" s="4" t="s">
        <v>231</v>
      </c>
      <c r="C40" s="5" t="s">
        <v>12</v>
      </c>
      <c r="D40" s="6" t="s">
        <v>232</v>
      </c>
      <c r="E40" s="3">
        <v>7</v>
      </c>
      <c r="F40" s="6" t="s">
        <v>233</v>
      </c>
      <c r="G40" s="6" t="s">
        <v>228</v>
      </c>
      <c r="H40" s="5" t="s">
        <v>23</v>
      </c>
      <c r="I40" s="6" t="s">
        <v>234</v>
      </c>
      <c r="J40" s="6" t="s">
        <v>235</v>
      </c>
      <c r="K40" s="7" t="s">
        <v>236</v>
      </c>
    </row>
    <row r="41" spans="1:11" ht="25.5" customHeight="1" x14ac:dyDescent="0.25">
      <c r="A41" s="3">
        <v>40</v>
      </c>
      <c r="B41" s="4" t="s">
        <v>237</v>
      </c>
      <c r="C41" s="5" t="s">
        <v>12</v>
      </c>
      <c r="D41" s="6" t="s">
        <v>238</v>
      </c>
      <c r="E41" s="3">
        <v>7</v>
      </c>
      <c r="F41" s="6" t="s">
        <v>239</v>
      </c>
      <c r="G41" s="6" t="s">
        <v>228</v>
      </c>
      <c r="H41" s="5" t="s">
        <v>23</v>
      </c>
      <c r="I41" s="6" t="s">
        <v>240</v>
      </c>
      <c r="J41" s="6" t="s">
        <v>241</v>
      </c>
      <c r="K41" s="6"/>
    </row>
    <row r="42" spans="1:11" ht="25.5" customHeight="1" x14ac:dyDescent="0.25">
      <c r="A42" s="3">
        <v>41</v>
      </c>
      <c r="B42" s="4" t="s">
        <v>242</v>
      </c>
      <c r="C42" s="5" t="s">
        <v>12</v>
      </c>
      <c r="D42" s="6" t="s">
        <v>243</v>
      </c>
      <c r="E42" s="3">
        <v>7</v>
      </c>
      <c r="F42" s="6" t="s">
        <v>244</v>
      </c>
      <c r="G42" s="6" t="s">
        <v>228</v>
      </c>
      <c r="H42" s="5" t="s">
        <v>23</v>
      </c>
      <c r="I42" s="6" t="s">
        <v>245</v>
      </c>
      <c r="J42" s="6" t="s">
        <v>246</v>
      </c>
      <c r="K42" s="6"/>
    </row>
    <row r="43" spans="1:11" ht="25.5" customHeight="1" x14ac:dyDescent="0.25">
      <c r="A43" s="3">
        <v>42</v>
      </c>
      <c r="B43" s="4" t="s">
        <v>247</v>
      </c>
      <c r="C43" s="5" t="s">
        <v>12</v>
      </c>
      <c r="D43" s="6" t="s">
        <v>248</v>
      </c>
      <c r="E43" s="3">
        <v>7</v>
      </c>
      <c r="F43" s="6" t="s">
        <v>249</v>
      </c>
      <c r="G43" s="6" t="s">
        <v>228</v>
      </c>
      <c r="H43" s="5" t="s">
        <v>23</v>
      </c>
      <c r="I43" s="6" t="s">
        <v>250</v>
      </c>
      <c r="J43" s="6" t="s">
        <v>251</v>
      </c>
      <c r="K43" s="6"/>
    </row>
    <row r="44" spans="1:11" ht="25.5" customHeight="1" x14ac:dyDescent="0.25">
      <c r="A44" s="3">
        <v>43</v>
      </c>
      <c r="B44" s="4" t="s">
        <v>252</v>
      </c>
      <c r="C44" s="5" t="s">
        <v>12</v>
      </c>
      <c r="D44" s="6" t="s">
        <v>253</v>
      </c>
      <c r="E44" s="3">
        <v>7</v>
      </c>
      <c r="F44" s="6" t="s">
        <v>254</v>
      </c>
      <c r="G44" s="6" t="s">
        <v>228</v>
      </c>
      <c r="H44" s="5" t="s">
        <v>23</v>
      </c>
      <c r="I44" s="6" t="s">
        <v>255</v>
      </c>
      <c r="J44" s="6" t="s">
        <v>251</v>
      </c>
      <c r="K44" s="7" t="s">
        <v>256</v>
      </c>
    </row>
    <row r="45" spans="1:11" ht="25.5" customHeight="1" x14ac:dyDescent="0.25">
      <c r="A45" s="3">
        <v>44</v>
      </c>
      <c r="B45" s="4" t="s">
        <v>257</v>
      </c>
      <c r="C45" s="5" t="s">
        <v>12</v>
      </c>
      <c r="D45" s="6" t="s">
        <v>258</v>
      </c>
      <c r="E45" s="3">
        <v>7</v>
      </c>
      <c r="F45" s="6" t="s">
        <v>259</v>
      </c>
      <c r="G45" s="6" t="s">
        <v>228</v>
      </c>
      <c r="H45" s="5" t="s">
        <v>30</v>
      </c>
      <c r="I45" s="6" t="s">
        <v>260</v>
      </c>
      <c r="J45" s="6" t="s">
        <v>261</v>
      </c>
      <c r="K45" s="6"/>
    </row>
    <row r="46" spans="1:11" ht="25.5" customHeight="1" x14ac:dyDescent="0.25">
      <c r="A46" s="3">
        <v>45</v>
      </c>
      <c r="B46" s="4" t="s">
        <v>262</v>
      </c>
      <c r="C46" s="5" t="s">
        <v>12</v>
      </c>
      <c r="D46" s="6" t="s">
        <v>263</v>
      </c>
      <c r="E46" s="3">
        <v>7</v>
      </c>
      <c r="F46" s="6" t="s">
        <v>264</v>
      </c>
      <c r="G46" s="6" t="s">
        <v>228</v>
      </c>
      <c r="H46" s="5" t="s">
        <v>23</v>
      </c>
      <c r="I46" s="6" t="s">
        <v>265</v>
      </c>
      <c r="J46" s="6" t="s">
        <v>266</v>
      </c>
      <c r="K46" s="6"/>
    </row>
    <row r="47" spans="1:11" ht="25.5" customHeight="1" x14ac:dyDescent="0.25">
      <c r="A47" s="3">
        <v>46</v>
      </c>
      <c r="B47" s="4" t="s">
        <v>267</v>
      </c>
      <c r="C47" s="5" t="s">
        <v>12</v>
      </c>
      <c r="D47" s="6" t="s">
        <v>268</v>
      </c>
      <c r="E47" s="3">
        <v>7</v>
      </c>
      <c r="F47" s="6" t="s">
        <v>269</v>
      </c>
      <c r="G47" s="6" t="s">
        <v>228</v>
      </c>
      <c r="H47" s="5" t="s">
        <v>23</v>
      </c>
      <c r="I47" s="6" t="s">
        <v>270</v>
      </c>
      <c r="J47" s="6" t="s">
        <v>271</v>
      </c>
      <c r="K47" s="6"/>
    </row>
    <row r="48" spans="1:11" ht="25.5" customHeight="1" x14ac:dyDescent="0.25">
      <c r="A48" s="3">
        <v>47</v>
      </c>
      <c r="B48" s="4" t="s">
        <v>272</v>
      </c>
      <c r="C48" s="5" t="s">
        <v>12</v>
      </c>
      <c r="D48" s="6" t="s">
        <v>273</v>
      </c>
      <c r="E48" s="3">
        <v>7</v>
      </c>
      <c r="F48" s="6" t="s">
        <v>274</v>
      </c>
      <c r="G48" s="6" t="s">
        <v>228</v>
      </c>
      <c r="H48" s="5" t="s">
        <v>23</v>
      </c>
      <c r="I48" s="6" t="s">
        <v>275</v>
      </c>
      <c r="J48" s="6" t="s">
        <v>276</v>
      </c>
      <c r="K48" s="7" t="s">
        <v>277</v>
      </c>
    </row>
    <row r="49" spans="1:11" ht="25.5" customHeight="1" x14ac:dyDescent="0.25">
      <c r="A49" s="3">
        <v>48</v>
      </c>
      <c r="B49" s="4" t="s">
        <v>278</v>
      </c>
      <c r="C49" s="5" t="s">
        <v>12</v>
      </c>
      <c r="D49" s="6" t="s">
        <v>279</v>
      </c>
      <c r="E49" s="3">
        <v>8</v>
      </c>
      <c r="F49" s="6" t="s">
        <v>280</v>
      </c>
      <c r="G49" s="6" t="s">
        <v>281</v>
      </c>
      <c r="H49" s="5" t="s">
        <v>23</v>
      </c>
      <c r="I49" s="6" t="s">
        <v>282</v>
      </c>
      <c r="J49" s="6" t="s">
        <v>283</v>
      </c>
      <c r="K49" s="6"/>
    </row>
    <row r="50" spans="1:11" ht="25.5" customHeight="1" x14ac:dyDescent="0.25">
      <c r="A50" s="3">
        <v>49</v>
      </c>
      <c r="B50" s="4" t="s">
        <v>284</v>
      </c>
      <c r="C50" s="5" t="s">
        <v>12</v>
      </c>
      <c r="D50" s="6" t="s">
        <v>285</v>
      </c>
      <c r="E50" s="3">
        <v>8</v>
      </c>
      <c r="F50" s="6" t="s">
        <v>286</v>
      </c>
      <c r="G50" s="6" t="s">
        <v>281</v>
      </c>
      <c r="H50" s="5" t="s">
        <v>30</v>
      </c>
      <c r="I50" s="6" t="s">
        <v>287</v>
      </c>
      <c r="J50" s="6" t="s">
        <v>288</v>
      </c>
      <c r="K50" s="6"/>
    </row>
    <row r="51" spans="1:11" ht="25.5" customHeight="1" x14ac:dyDescent="0.25">
      <c r="A51" s="3">
        <v>50</v>
      </c>
      <c r="B51" s="4" t="s">
        <v>289</v>
      </c>
      <c r="C51" s="5" t="s">
        <v>12</v>
      </c>
      <c r="D51" s="6" t="s">
        <v>290</v>
      </c>
      <c r="E51" s="3">
        <v>8</v>
      </c>
      <c r="F51" s="6" t="s">
        <v>291</v>
      </c>
      <c r="G51" s="6" t="s">
        <v>281</v>
      </c>
      <c r="H51" s="5" t="s">
        <v>23</v>
      </c>
      <c r="I51" s="6" t="s">
        <v>292</v>
      </c>
      <c r="J51" s="6" t="s">
        <v>293</v>
      </c>
      <c r="K51" s="6"/>
    </row>
    <row r="52" spans="1:11" ht="25.5" customHeight="1" x14ac:dyDescent="0.25">
      <c r="A52" s="3">
        <v>51</v>
      </c>
      <c r="B52" s="4" t="s">
        <v>294</v>
      </c>
      <c r="C52" s="5" t="s">
        <v>12</v>
      </c>
      <c r="D52" s="6" t="s">
        <v>295</v>
      </c>
      <c r="E52" s="3">
        <v>8</v>
      </c>
      <c r="F52" s="6" t="s">
        <v>296</v>
      </c>
      <c r="G52" s="6" t="s">
        <v>281</v>
      </c>
      <c r="H52" s="5" t="s">
        <v>23</v>
      </c>
      <c r="I52" s="6" t="s">
        <v>297</v>
      </c>
      <c r="J52" s="6" t="s">
        <v>298</v>
      </c>
      <c r="K52" s="7" t="s">
        <v>299</v>
      </c>
    </row>
    <row r="53" spans="1:11" ht="25.5" customHeight="1" x14ac:dyDescent="0.25">
      <c r="A53" s="3">
        <v>52</v>
      </c>
      <c r="B53" s="4" t="s">
        <v>300</v>
      </c>
      <c r="C53" s="5" t="s">
        <v>12</v>
      </c>
      <c r="D53" s="6" t="s">
        <v>301</v>
      </c>
      <c r="E53" s="3">
        <v>8</v>
      </c>
      <c r="F53" s="6" t="s">
        <v>302</v>
      </c>
      <c r="G53" s="6" t="s">
        <v>281</v>
      </c>
      <c r="H53" s="5" t="s">
        <v>30</v>
      </c>
      <c r="I53" s="6" t="s">
        <v>303</v>
      </c>
      <c r="J53" s="6" t="s">
        <v>304</v>
      </c>
      <c r="K53" s="6"/>
    </row>
    <row r="54" spans="1:11" ht="25.5" customHeight="1" x14ac:dyDescent="0.25">
      <c r="A54" s="3">
        <v>53</v>
      </c>
      <c r="B54" s="4" t="s">
        <v>305</v>
      </c>
      <c r="C54" s="5" t="s">
        <v>12</v>
      </c>
      <c r="D54" s="6" t="s">
        <v>306</v>
      </c>
      <c r="E54" s="3">
        <v>8</v>
      </c>
      <c r="F54" s="6" t="s">
        <v>307</v>
      </c>
      <c r="G54" s="6" t="s">
        <v>281</v>
      </c>
      <c r="H54" s="5" t="s">
        <v>30</v>
      </c>
      <c r="I54" s="6" t="s">
        <v>308</v>
      </c>
      <c r="J54" s="6" t="s">
        <v>309</v>
      </c>
      <c r="K54" s="7" t="s">
        <v>310</v>
      </c>
    </row>
    <row r="55" spans="1:11" ht="25.5" customHeight="1" x14ac:dyDescent="0.25">
      <c r="A55" s="3">
        <v>54</v>
      </c>
      <c r="B55" s="4" t="s">
        <v>311</v>
      </c>
      <c r="C55" s="5" t="s">
        <v>12</v>
      </c>
      <c r="D55" s="6" t="s">
        <v>312</v>
      </c>
      <c r="E55" s="3">
        <v>8</v>
      </c>
      <c r="F55" s="6" t="s">
        <v>313</v>
      </c>
      <c r="G55" s="6" t="s">
        <v>281</v>
      </c>
      <c r="H55" s="5" t="s">
        <v>30</v>
      </c>
      <c r="I55" s="6" t="s">
        <v>314</v>
      </c>
      <c r="J55" s="6" t="s">
        <v>315</v>
      </c>
      <c r="K55" s="6"/>
    </row>
    <row r="56" spans="1:11" ht="25.5" customHeight="1" x14ac:dyDescent="0.25">
      <c r="A56" s="3">
        <v>55</v>
      </c>
      <c r="B56" s="4" t="s">
        <v>316</v>
      </c>
      <c r="C56" s="5" t="s">
        <v>12</v>
      </c>
      <c r="D56" s="6" t="s">
        <v>317</v>
      </c>
      <c r="E56" s="3">
        <v>8</v>
      </c>
      <c r="F56" s="6" t="s">
        <v>318</v>
      </c>
      <c r="G56" s="6" t="s">
        <v>281</v>
      </c>
      <c r="H56" s="5" t="s">
        <v>16</v>
      </c>
      <c r="I56" s="6" t="s">
        <v>319</v>
      </c>
      <c r="J56" s="6" t="s">
        <v>320</v>
      </c>
      <c r="K56" s="6"/>
    </row>
    <row r="57" spans="1:11" ht="25.5" customHeight="1" x14ac:dyDescent="0.25">
      <c r="A57" s="3">
        <v>56</v>
      </c>
      <c r="B57" s="4" t="s">
        <v>321</v>
      </c>
      <c r="C57" s="5" t="s">
        <v>12</v>
      </c>
      <c r="D57" s="6" t="s">
        <v>322</v>
      </c>
      <c r="E57" s="3">
        <v>9</v>
      </c>
      <c r="F57" s="6" t="s">
        <v>323</v>
      </c>
      <c r="G57" s="6" t="s">
        <v>324</v>
      </c>
      <c r="H57" s="5" t="s">
        <v>30</v>
      </c>
      <c r="I57" s="6" t="s">
        <v>325</v>
      </c>
      <c r="J57" s="6" t="s">
        <v>326</v>
      </c>
      <c r="K57" s="6"/>
    </row>
    <row r="58" spans="1:11" ht="25.5" customHeight="1" x14ac:dyDescent="0.25">
      <c r="A58" s="3">
        <v>57</v>
      </c>
      <c r="B58" s="4" t="s">
        <v>327</v>
      </c>
      <c r="C58" s="5" t="s">
        <v>12</v>
      </c>
      <c r="D58" s="6" t="s">
        <v>328</v>
      </c>
      <c r="E58" s="3">
        <v>9</v>
      </c>
      <c r="F58" s="6" t="s">
        <v>329</v>
      </c>
      <c r="G58" s="6" t="s">
        <v>324</v>
      </c>
      <c r="H58" s="5" t="s">
        <v>30</v>
      </c>
      <c r="I58" s="6" t="s">
        <v>330</v>
      </c>
      <c r="J58" s="6" t="s">
        <v>331</v>
      </c>
      <c r="K58" s="6"/>
    </row>
    <row r="59" spans="1:11" ht="25.5" customHeight="1" x14ac:dyDescent="0.25">
      <c r="A59" s="3">
        <v>58</v>
      </c>
      <c r="B59" s="4" t="s">
        <v>332</v>
      </c>
      <c r="C59" s="5" t="s">
        <v>12</v>
      </c>
      <c r="D59" s="6" t="s">
        <v>333</v>
      </c>
      <c r="E59" s="3">
        <v>9</v>
      </c>
      <c r="F59" s="6" t="s">
        <v>334</v>
      </c>
      <c r="G59" s="6" t="s">
        <v>324</v>
      </c>
      <c r="H59" s="5" t="s">
        <v>30</v>
      </c>
      <c r="I59" s="6" t="s">
        <v>335</v>
      </c>
      <c r="J59" s="6" t="s">
        <v>336</v>
      </c>
      <c r="K59" s="6"/>
    </row>
    <row r="60" spans="1:11" ht="25.5" customHeight="1" x14ac:dyDescent="0.25">
      <c r="A60" s="3">
        <v>59</v>
      </c>
      <c r="B60" s="4" t="s">
        <v>337</v>
      </c>
      <c r="C60" s="5" t="s">
        <v>12</v>
      </c>
      <c r="D60" s="6" t="s">
        <v>338</v>
      </c>
      <c r="E60" s="3">
        <v>9</v>
      </c>
      <c r="F60" s="6" t="s">
        <v>339</v>
      </c>
      <c r="G60" s="6" t="s">
        <v>324</v>
      </c>
      <c r="H60" s="5" t="s">
        <v>112</v>
      </c>
      <c r="I60" s="6" t="s">
        <v>340</v>
      </c>
      <c r="J60" s="6" t="s">
        <v>341</v>
      </c>
      <c r="K60" s="6"/>
    </row>
    <row r="61" spans="1:11" ht="25.5" customHeight="1" x14ac:dyDescent="0.25">
      <c r="A61" s="3">
        <v>60</v>
      </c>
      <c r="B61" s="4" t="s">
        <v>342</v>
      </c>
      <c r="C61" s="5" t="s">
        <v>12</v>
      </c>
      <c r="D61" s="6" t="s">
        <v>343</v>
      </c>
      <c r="E61" s="3">
        <v>10</v>
      </c>
      <c r="F61" s="6" t="s">
        <v>344</v>
      </c>
      <c r="G61" s="6" t="s">
        <v>345</v>
      </c>
      <c r="H61" s="5" t="s">
        <v>30</v>
      </c>
      <c r="I61" s="6" t="s">
        <v>346</v>
      </c>
      <c r="J61" s="6" t="s">
        <v>347</v>
      </c>
      <c r="K61" s="6"/>
    </row>
    <row r="62" spans="1:11" ht="25.5" customHeight="1" x14ac:dyDescent="0.25">
      <c r="A62" s="3">
        <v>61</v>
      </c>
      <c r="B62" s="4" t="s">
        <v>348</v>
      </c>
      <c r="C62" s="5" t="s">
        <v>12</v>
      </c>
      <c r="D62" s="6" t="s">
        <v>349</v>
      </c>
      <c r="E62" s="3">
        <v>10</v>
      </c>
      <c r="F62" s="6" t="s">
        <v>350</v>
      </c>
      <c r="G62" s="6" t="s">
        <v>345</v>
      </c>
      <c r="H62" s="5" t="s">
        <v>16</v>
      </c>
      <c r="I62" s="6" t="s">
        <v>351</v>
      </c>
      <c r="J62" s="6" t="s">
        <v>352</v>
      </c>
      <c r="K62" s="6"/>
    </row>
    <row r="63" spans="1:11" ht="25.5" customHeight="1" x14ac:dyDescent="0.25">
      <c r="A63" s="3">
        <v>62</v>
      </c>
      <c r="B63" s="4" t="s">
        <v>353</v>
      </c>
      <c r="C63" s="5" t="s">
        <v>12</v>
      </c>
      <c r="D63" s="6" t="s">
        <v>354</v>
      </c>
      <c r="E63" s="3">
        <v>10</v>
      </c>
      <c r="F63" s="6" t="s">
        <v>355</v>
      </c>
      <c r="G63" s="6" t="s">
        <v>345</v>
      </c>
      <c r="H63" s="5" t="s">
        <v>16</v>
      </c>
      <c r="I63" s="6" t="s">
        <v>356</v>
      </c>
      <c r="J63" s="6" t="s">
        <v>357</v>
      </c>
      <c r="K63" s="6"/>
    </row>
    <row r="64" spans="1:11" ht="25.5" customHeight="1" x14ac:dyDescent="0.25">
      <c r="A64" s="3">
        <v>63</v>
      </c>
      <c r="B64" s="4" t="s">
        <v>358</v>
      </c>
      <c r="C64" s="5" t="s">
        <v>12</v>
      </c>
      <c r="D64" s="6" t="s">
        <v>359</v>
      </c>
      <c r="E64" s="3">
        <v>11</v>
      </c>
      <c r="F64" s="6" t="s">
        <v>360</v>
      </c>
      <c r="G64" s="6" t="s">
        <v>361</v>
      </c>
      <c r="H64" s="5" t="s">
        <v>54</v>
      </c>
      <c r="I64" s="6" t="s">
        <v>362</v>
      </c>
      <c r="J64" s="6" t="s">
        <v>363</v>
      </c>
      <c r="K64" s="6"/>
    </row>
    <row r="65" spans="1:11" ht="25.5" customHeight="1" x14ac:dyDescent="0.25">
      <c r="A65" s="3">
        <v>64</v>
      </c>
      <c r="B65" s="4" t="s">
        <v>364</v>
      </c>
      <c r="C65" s="5" t="s">
        <v>12</v>
      </c>
      <c r="D65" s="6" t="s">
        <v>365</v>
      </c>
      <c r="E65" s="3">
        <v>11</v>
      </c>
      <c r="F65" s="6" t="s">
        <v>366</v>
      </c>
      <c r="G65" s="6" t="s">
        <v>361</v>
      </c>
      <c r="H65" s="5" t="s">
        <v>54</v>
      </c>
      <c r="I65" s="6" t="s">
        <v>367</v>
      </c>
      <c r="J65" s="6" t="s">
        <v>368</v>
      </c>
      <c r="K65" s="7" t="s">
        <v>369</v>
      </c>
    </row>
    <row r="66" spans="1:11" ht="25.5" customHeight="1" x14ac:dyDescent="0.25">
      <c r="A66" s="3">
        <v>65</v>
      </c>
      <c r="B66" s="4" t="s">
        <v>370</v>
      </c>
      <c r="C66" s="5" t="s">
        <v>12</v>
      </c>
      <c r="D66" s="6" t="s">
        <v>371</v>
      </c>
      <c r="E66" s="3">
        <v>11</v>
      </c>
      <c r="F66" s="6" t="s">
        <v>372</v>
      </c>
      <c r="G66" s="6" t="s">
        <v>361</v>
      </c>
      <c r="H66" s="5" t="s">
        <v>54</v>
      </c>
      <c r="I66" s="6" t="s">
        <v>373</v>
      </c>
      <c r="J66" s="6" t="s">
        <v>374</v>
      </c>
      <c r="K66" s="6"/>
    </row>
    <row r="67" spans="1:11" ht="25.5" customHeight="1" x14ac:dyDescent="0.25">
      <c r="A67" s="3">
        <v>66</v>
      </c>
      <c r="B67" s="4" t="s">
        <v>375</v>
      </c>
      <c r="C67" s="5" t="s">
        <v>12</v>
      </c>
      <c r="D67" s="6" t="s">
        <v>376</v>
      </c>
      <c r="E67" s="3">
        <v>11</v>
      </c>
      <c r="F67" s="6" t="s">
        <v>377</v>
      </c>
      <c r="G67" s="6" t="s">
        <v>361</v>
      </c>
      <c r="H67" s="5" t="s">
        <v>54</v>
      </c>
      <c r="I67" s="6" t="s">
        <v>378</v>
      </c>
      <c r="J67" s="6" t="s">
        <v>379</v>
      </c>
      <c r="K67" s="6"/>
    </row>
    <row r="68" spans="1:11" ht="25.5" customHeight="1" x14ac:dyDescent="0.25">
      <c r="A68" s="3">
        <v>67</v>
      </c>
      <c r="B68" s="4" t="s">
        <v>380</v>
      </c>
      <c r="C68" s="5" t="s">
        <v>12</v>
      </c>
      <c r="D68" s="6" t="s">
        <v>381</v>
      </c>
      <c r="E68" s="3">
        <v>11</v>
      </c>
      <c r="F68" s="6" t="s">
        <v>382</v>
      </c>
      <c r="G68" s="6" t="s">
        <v>361</v>
      </c>
      <c r="H68" s="5" t="s">
        <v>54</v>
      </c>
      <c r="I68" s="6" t="s">
        <v>383</v>
      </c>
      <c r="J68" s="6" t="s">
        <v>384</v>
      </c>
      <c r="K68" s="6"/>
    </row>
    <row r="69" spans="1:11" ht="25.5" customHeight="1" x14ac:dyDescent="0.25">
      <c r="A69" s="3">
        <v>68</v>
      </c>
      <c r="B69" s="4" t="s">
        <v>385</v>
      </c>
      <c r="C69" s="5" t="s">
        <v>12</v>
      </c>
      <c r="D69" s="6" t="s">
        <v>386</v>
      </c>
      <c r="E69" s="3">
        <v>11</v>
      </c>
      <c r="F69" s="6" t="s">
        <v>387</v>
      </c>
      <c r="G69" s="6" t="s">
        <v>361</v>
      </c>
      <c r="H69" s="5" t="s">
        <v>54</v>
      </c>
      <c r="I69" s="6" t="s">
        <v>388</v>
      </c>
      <c r="J69" s="6" t="s">
        <v>389</v>
      </c>
      <c r="K69" s="6"/>
    </row>
    <row r="70" spans="1:11" ht="36" customHeight="1" x14ac:dyDescent="0.25">
      <c r="A70" s="3">
        <v>69</v>
      </c>
      <c r="B70" s="4" t="s">
        <v>390</v>
      </c>
      <c r="C70" s="5" t="s">
        <v>12</v>
      </c>
      <c r="D70" s="6" t="s">
        <v>391</v>
      </c>
      <c r="E70" s="3">
        <v>11</v>
      </c>
      <c r="F70" s="6" t="s">
        <v>392</v>
      </c>
      <c r="G70" s="6" t="s">
        <v>361</v>
      </c>
      <c r="H70" s="5" t="s">
        <v>54</v>
      </c>
      <c r="I70" s="6" t="s">
        <v>393</v>
      </c>
      <c r="J70" s="6" t="s">
        <v>394</v>
      </c>
      <c r="K70" s="6"/>
    </row>
    <row r="71" spans="1:11" ht="25.5" customHeight="1" x14ac:dyDescent="0.25">
      <c r="A71" s="3">
        <v>70</v>
      </c>
      <c r="B71" s="4" t="s">
        <v>395</v>
      </c>
      <c r="C71" s="5" t="s">
        <v>12</v>
      </c>
      <c r="D71" s="6" t="s">
        <v>396</v>
      </c>
      <c r="E71" s="3">
        <v>11</v>
      </c>
      <c r="F71" s="6" t="s">
        <v>397</v>
      </c>
      <c r="G71" s="6" t="s">
        <v>361</v>
      </c>
      <c r="H71" s="5" t="s">
        <v>54</v>
      </c>
      <c r="I71" s="6" t="s">
        <v>398</v>
      </c>
      <c r="J71" s="6" t="s">
        <v>399</v>
      </c>
      <c r="K71" s="6"/>
    </row>
    <row r="72" spans="1:11" ht="25.5" customHeight="1" x14ac:dyDescent="0.25">
      <c r="A72" s="3">
        <v>71</v>
      </c>
      <c r="B72" s="4" t="s">
        <v>400</v>
      </c>
      <c r="C72" s="5" t="s">
        <v>12</v>
      </c>
      <c r="D72" s="6" t="s">
        <v>401</v>
      </c>
      <c r="E72" s="3">
        <v>12</v>
      </c>
      <c r="F72" s="6" t="s">
        <v>402</v>
      </c>
      <c r="G72" s="6" t="s">
        <v>403</v>
      </c>
      <c r="H72" s="5" t="s">
        <v>54</v>
      </c>
      <c r="I72" s="6" t="s">
        <v>404</v>
      </c>
      <c r="J72" s="6" t="s">
        <v>405</v>
      </c>
      <c r="K72" s="6"/>
    </row>
    <row r="73" spans="1:11" ht="25.5" customHeight="1" x14ac:dyDescent="0.25">
      <c r="A73" s="3">
        <v>72</v>
      </c>
      <c r="B73" s="4" t="s">
        <v>406</v>
      </c>
      <c r="C73" s="5" t="s">
        <v>12</v>
      </c>
      <c r="D73" s="6" t="s">
        <v>407</v>
      </c>
      <c r="E73" s="3">
        <v>12</v>
      </c>
      <c r="F73" s="6" t="s">
        <v>408</v>
      </c>
      <c r="G73" s="6" t="s">
        <v>403</v>
      </c>
      <c r="H73" s="5" t="s">
        <v>54</v>
      </c>
      <c r="I73" s="6" t="s">
        <v>409</v>
      </c>
      <c r="J73" s="6" t="s">
        <v>410</v>
      </c>
      <c r="K73" s="6"/>
    </row>
    <row r="74" spans="1:11" ht="25.5" customHeight="1" x14ac:dyDescent="0.25">
      <c r="A74" s="3">
        <v>73</v>
      </c>
      <c r="B74" s="4" t="s">
        <v>411</v>
      </c>
      <c r="C74" s="5" t="s">
        <v>12</v>
      </c>
      <c r="D74" s="6" t="s">
        <v>412</v>
      </c>
      <c r="E74" s="3">
        <v>12</v>
      </c>
      <c r="F74" s="6" t="s">
        <v>413</v>
      </c>
      <c r="G74" s="6" t="s">
        <v>403</v>
      </c>
      <c r="H74" s="5" t="s">
        <v>54</v>
      </c>
      <c r="I74" s="6" t="s">
        <v>414</v>
      </c>
      <c r="J74" s="6" t="s">
        <v>415</v>
      </c>
      <c r="K74" s="6"/>
    </row>
    <row r="75" spans="1:11" x14ac:dyDescent="0.25">
      <c r="A75" s="3">
        <v>74</v>
      </c>
      <c r="B75" s="4" t="s">
        <v>416</v>
      </c>
      <c r="C75" s="5" t="s">
        <v>12</v>
      </c>
      <c r="D75" s="6" t="s">
        <v>417</v>
      </c>
      <c r="E75" s="3">
        <v>12</v>
      </c>
      <c r="F75" s="6" t="s">
        <v>418</v>
      </c>
      <c r="G75" s="6" t="s">
        <v>403</v>
      </c>
      <c r="H75" s="5" t="s">
        <v>54</v>
      </c>
      <c r="I75" s="6" t="s">
        <v>419</v>
      </c>
      <c r="J75" s="6" t="s">
        <v>420</v>
      </c>
      <c r="K75" s="6"/>
    </row>
    <row r="76" spans="1:11" ht="38.25" x14ac:dyDescent="0.25">
      <c r="A76" s="17">
        <v>75</v>
      </c>
      <c r="B76" s="18" t="s">
        <v>421</v>
      </c>
      <c r="C76" s="19" t="s">
        <v>12</v>
      </c>
      <c r="D76" s="20" t="s">
        <v>422</v>
      </c>
      <c r="E76" s="17">
        <v>13</v>
      </c>
      <c r="F76" s="20" t="s">
        <v>423</v>
      </c>
      <c r="G76" s="20" t="s">
        <v>424</v>
      </c>
      <c r="H76" s="19" t="s">
        <v>54</v>
      </c>
      <c r="I76" s="20" t="s">
        <v>425</v>
      </c>
      <c r="J76" s="20"/>
      <c r="K76" s="21" t="s">
        <v>426</v>
      </c>
    </row>
    <row r="77" spans="1:11" ht="38.25" x14ac:dyDescent="0.25">
      <c r="A77" s="17">
        <v>76</v>
      </c>
      <c r="B77" s="18" t="s">
        <v>427</v>
      </c>
      <c r="C77" s="19" t="s">
        <v>12</v>
      </c>
      <c r="D77" s="20" t="s">
        <v>428</v>
      </c>
      <c r="E77" s="17">
        <v>13</v>
      </c>
      <c r="F77" s="20" t="s">
        <v>429</v>
      </c>
      <c r="G77" s="20" t="s">
        <v>424</v>
      </c>
      <c r="H77" s="19" t="s">
        <v>54</v>
      </c>
      <c r="I77" s="20" t="s">
        <v>430</v>
      </c>
      <c r="J77" s="20"/>
      <c r="K77" s="21" t="s">
        <v>431</v>
      </c>
    </row>
    <row r="78" spans="1:11" ht="38.25" x14ac:dyDescent="0.25">
      <c r="A78" s="17">
        <v>77</v>
      </c>
      <c r="B78" s="18" t="s">
        <v>432</v>
      </c>
      <c r="C78" s="19" t="s">
        <v>12</v>
      </c>
      <c r="D78" s="20" t="s">
        <v>433</v>
      </c>
      <c r="E78" s="17">
        <v>13</v>
      </c>
      <c r="F78" s="20" t="s">
        <v>434</v>
      </c>
      <c r="G78" s="20" t="s">
        <v>424</v>
      </c>
      <c r="H78" s="19" t="s">
        <v>54</v>
      </c>
      <c r="I78" s="20" t="s">
        <v>435</v>
      </c>
      <c r="J78" s="20"/>
      <c r="K78" s="21" t="s">
        <v>436</v>
      </c>
    </row>
    <row r="79" spans="1:11" ht="25.5" x14ac:dyDescent="0.25">
      <c r="A79" s="17">
        <v>78</v>
      </c>
      <c r="B79" s="18" t="s">
        <v>437</v>
      </c>
      <c r="C79" s="19" t="s">
        <v>12</v>
      </c>
      <c r="D79" s="20" t="s">
        <v>438</v>
      </c>
      <c r="E79" s="17">
        <v>13</v>
      </c>
      <c r="F79" s="20" t="s">
        <v>439</v>
      </c>
      <c r="G79" s="20" t="s">
        <v>424</v>
      </c>
      <c r="H79" s="19" t="s">
        <v>23</v>
      </c>
      <c r="I79" s="20" t="s">
        <v>440</v>
      </c>
      <c r="J79" s="20"/>
      <c r="K79" s="21" t="s">
        <v>441</v>
      </c>
    </row>
    <row r="80" spans="1:11" ht="38.25" x14ac:dyDescent="0.25">
      <c r="A80" s="17">
        <v>79</v>
      </c>
      <c r="B80" s="18" t="s">
        <v>442</v>
      </c>
      <c r="C80" s="19" t="s">
        <v>12</v>
      </c>
      <c r="D80" s="20" t="s">
        <v>443</v>
      </c>
      <c r="E80" s="17">
        <v>13</v>
      </c>
      <c r="F80" s="20" t="s">
        <v>444</v>
      </c>
      <c r="G80" s="20" t="s">
        <v>424</v>
      </c>
      <c r="H80" s="19" t="s">
        <v>54</v>
      </c>
      <c r="I80" s="20" t="s">
        <v>445</v>
      </c>
      <c r="J80" s="20"/>
      <c r="K80" s="21" t="s">
        <v>446</v>
      </c>
    </row>
    <row r="81" spans="1:11" ht="38.25" x14ac:dyDescent="0.25">
      <c r="A81" s="17">
        <v>80</v>
      </c>
      <c r="B81" s="18" t="s">
        <v>447</v>
      </c>
      <c r="C81" s="19" t="s">
        <v>12</v>
      </c>
      <c r="D81" s="20" t="s">
        <v>448</v>
      </c>
      <c r="E81" s="17">
        <v>13</v>
      </c>
      <c r="F81" s="20" t="s">
        <v>449</v>
      </c>
      <c r="G81" s="20" t="s">
        <v>424</v>
      </c>
      <c r="H81" s="19" t="s">
        <v>54</v>
      </c>
      <c r="I81" s="20" t="s">
        <v>450</v>
      </c>
      <c r="J81" s="20"/>
      <c r="K81" s="21" t="s">
        <v>451</v>
      </c>
    </row>
    <row r="82" spans="1:11" ht="51" x14ac:dyDescent="0.25">
      <c r="A82" s="17">
        <v>81</v>
      </c>
      <c r="B82" s="18" t="s">
        <v>452</v>
      </c>
      <c r="C82" s="19" t="s">
        <v>12</v>
      </c>
      <c r="D82" s="20" t="s">
        <v>453</v>
      </c>
      <c r="E82" s="17">
        <v>13</v>
      </c>
      <c r="F82" s="20" t="s">
        <v>454</v>
      </c>
      <c r="G82" s="20" t="s">
        <v>424</v>
      </c>
      <c r="H82" s="19" t="s">
        <v>54</v>
      </c>
      <c r="I82" s="20" t="s">
        <v>455</v>
      </c>
      <c r="J82" s="20"/>
      <c r="K82" s="21" t="s">
        <v>456</v>
      </c>
    </row>
  </sheetData>
  <autoFilter ref="A1:K8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/>
  </sheetViews>
  <sheetFormatPr baseColWidth="10" defaultColWidth="9.140625" defaultRowHeight="15" x14ac:dyDescent="0.25"/>
  <cols>
    <col min="1" max="1" width="24" customWidth="1"/>
    <col min="2" max="2" width="60" customWidth="1"/>
    <col min="3" max="3" width="16" customWidth="1"/>
  </cols>
  <sheetData>
    <row r="1" spans="1:3" ht="15.75" customHeight="1" x14ac:dyDescent="0.25">
      <c r="A1" s="8" t="s">
        <v>457</v>
      </c>
    </row>
    <row r="2" spans="1:3" x14ac:dyDescent="0.25">
      <c r="A2" s="9" t="s">
        <v>458</v>
      </c>
    </row>
    <row r="4" spans="1:3" x14ac:dyDescent="0.25">
      <c r="A4" s="10" t="s">
        <v>4</v>
      </c>
      <c r="B4" s="10" t="s">
        <v>6</v>
      </c>
      <c r="C4" s="10" t="s">
        <v>459</v>
      </c>
    </row>
    <row r="5" spans="1:3" x14ac:dyDescent="0.25">
      <c r="A5" s="11">
        <v>1</v>
      </c>
      <c r="B5" s="11" t="s">
        <v>15</v>
      </c>
      <c r="C5" s="11">
        <f>COUNTIF(Requerimientos!$E$2:$E$75,A5)</f>
        <v>8</v>
      </c>
    </row>
    <row r="6" spans="1:3" x14ac:dyDescent="0.25">
      <c r="A6" s="11">
        <v>2</v>
      </c>
      <c r="B6" s="11" t="s">
        <v>67</v>
      </c>
      <c r="C6" s="11">
        <f>COUNTIF(Requerimientos!$E$2:$E$75,A6)</f>
        <v>4</v>
      </c>
    </row>
    <row r="7" spans="1:3" x14ac:dyDescent="0.25">
      <c r="A7" s="11">
        <v>3</v>
      </c>
      <c r="B7" s="11" t="s">
        <v>89</v>
      </c>
      <c r="C7" s="11">
        <f>COUNTIF(Requerimientos!$E$2:$E$75,A7)</f>
        <v>4</v>
      </c>
    </row>
    <row r="8" spans="1:3" x14ac:dyDescent="0.25">
      <c r="A8" s="11">
        <v>4</v>
      </c>
      <c r="B8" s="11" t="s">
        <v>111</v>
      </c>
      <c r="C8" s="11">
        <f>COUNTIF(Requerimientos!$E$2:$E$75,A8)</f>
        <v>9</v>
      </c>
    </row>
    <row r="9" spans="1:3" x14ac:dyDescent="0.25">
      <c r="A9" s="11">
        <v>5</v>
      </c>
      <c r="B9" s="11" t="s">
        <v>164</v>
      </c>
      <c r="C9" s="11">
        <f>COUNTIF(Requerimientos!$E$2:$E$75,A9)</f>
        <v>7</v>
      </c>
    </row>
    <row r="10" spans="1:3" x14ac:dyDescent="0.25">
      <c r="A10" s="11">
        <v>6</v>
      </c>
      <c r="B10" s="11" t="s">
        <v>200</v>
      </c>
      <c r="C10" s="11">
        <f>COUNTIF(Requerimientos!$E$2:$E$75,A10)</f>
        <v>5</v>
      </c>
    </row>
    <row r="11" spans="1:3" x14ac:dyDescent="0.25">
      <c r="A11" s="11">
        <v>7</v>
      </c>
      <c r="B11" s="11" t="s">
        <v>228</v>
      </c>
      <c r="C11" s="11">
        <f>COUNTIF(Requerimientos!$E$2:$E$75,A11)</f>
        <v>10</v>
      </c>
    </row>
    <row r="12" spans="1:3" x14ac:dyDescent="0.25">
      <c r="A12" s="11">
        <v>8</v>
      </c>
      <c r="B12" s="11" t="s">
        <v>281</v>
      </c>
      <c r="C12" s="11">
        <f>COUNTIF(Requerimientos!$E$2:$E$75,A12)</f>
        <v>8</v>
      </c>
    </row>
    <row r="13" spans="1:3" x14ac:dyDescent="0.25">
      <c r="A13" s="11">
        <v>9</v>
      </c>
      <c r="B13" s="11" t="s">
        <v>324</v>
      </c>
      <c r="C13" s="11">
        <f>COUNTIF(Requerimientos!$E$2:$E$75,A13)</f>
        <v>4</v>
      </c>
    </row>
    <row r="14" spans="1:3" x14ac:dyDescent="0.25">
      <c r="A14" s="11">
        <v>10</v>
      </c>
      <c r="B14" s="11" t="s">
        <v>345</v>
      </c>
      <c r="C14" s="11">
        <f>COUNTIF(Requerimientos!$E$2:$E$75,A14)</f>
        <v>3</v>
      </c>
    </row>
    <row r="15" spans="1:3" x14ac:dyDescent="0.25">
      <c r="A15" s="11">
        <v>11</v>
      </c>
      <c r="B15" s="11" t="s">
        <v>361</v>
      </c>
      <c r="C15" s="11">
        <f>COUNTIF(Requerimientos!$E$2:$E$75,A15)</f>
        <v>8</v>
      </c>
    </row>
    <row r="16" spans="1:3" x14ac:dyDescent="0.25">
      <c r="A16" s="11">
        <v>12</v>
      </c>
      <c r="B16" s="11" t="s">
        <v>403</v>
      </c>
      <c r="C16" s="11">
        <f>COUNTIF(Requerimientos!$E$2:$E$75,A16)</f>
        <v>4</v>
      </c>
    </row>
    <row r="17" spans="1:3" x14ac:dyDescent="0.25">
      <c r="A17" s="11">
        <v>13</v>
      </c>
      <c r="B17" s="11" t="s">
        <v>424</v>
      </c>
      <c r="C17" s="11">
        <f>COUNTIF(Requerimientos!$E$2:$E$82,A17)</f>
        <v>7</v>
      </c>
    </row>
    <row r="18" spans="1:3" x14ac:dyDescent="0.25">
      <c r="B18" s="12" t="s">
        <v>460</v>
      </c>
      <c r="C18" s="12">
        <f>SUM(C5:C17)</f>
        <v>81</v>
      </c>
    </row>
    <row r="20" spans="1:3" x14ac:dyDescent="0.25">
      <c r="A20" s="13" t="s">
        <v>461</v>
      </c>
    </row>
    <row r="21" spans="1:3" x14ac:dyDescent="0.25">
      <c r="A21" s="10" t="s">
        <v>7</v>
      </c>
      <c r="B21" s="10" t="s">
        <v>459</v>
      </c>
    </row>
    <row r="22" spans="1:3" x14ac:dyDescent="0.25">
      <c r="A22" s="11" t="s">
        <v>54</v>
      </c>
      <c r="B22" s="11">
        <f>COUNTIF(Requerimientos!$H$2:$H$75,"*"&amp;A21&amp;"*")</f>
        <v>0</v>
      </c>
    </row>
    <row r="23" spans="1:3" x14ac:dyDescent="0.25">
      <c r="A23" s="11" t="s">
        <v>112</v>
      </c>
      <c r="B23" s="11">
        <f>COUNTIF(Requerimientos!$H$2:$H$75,"*"&amp;A22&amp;"*")</f>
        <v>28</v>
      </c>
    </row>
    <row r="24" spans="1:3" x14ac:dyDescent="0.25">
      <c r="A24" s="11" t="s">
        <v>23</v>
      </c>
      <c r="B24" s="11">
        <f>COUNTIF(Requerimientos!$H$2:$H$75,"*"&amp;A23&amp;"*")</f>
        <v>18</v>
      </c>
    </row>
    <row r="25" spans="1:3" x14ac:dyDescent="0.25">
      <c r="A25" s="11" t="s">
        <v>30</v>
      </c>
      <c r="B25" s="11">
        <f>COUNTIF(Requerimientos!$H$2:$H$75,"*"&amp;A24&amp;"*")</f>
        <v>16</v>
      </c>
    </row>
    <row r="26" spans="1:3" x14ac:dyDescent="0.25">
      <c r="A26" s="14" t="s">
        <v>462</v>
      </c>
      <c r="B26" s="15" t="s">
        <v>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/>
  </sheetViews>
  <sheetFormatPr baseColWidth="10" defaultColWidth="9.140625" defaultRowHeight="15" x14ac:dyDescent="0.25"/>
  <cols>
    <col min="1" max="1" width="26" customWidth="1"/>
    <col min="2" max="2" width="100" customWidth="1"/>
  </cols>
  <sheetData>
    <row r="1" spans="1:2" ht="15.75" customHeight="1" x14ac:dyDescent="0.25">
      <c r="A1" s="8" t="s">
        <v>464</v>
      </c>
    </row>
    <row r="3" spans="1:2" ht="32.1" customHeight="1" x14ac:dyDescent="0.25">
      <c r="A3" s="12" t="s">
        <v>465</v>
      </c>
      <c r="B3" s="16" t="s">
        <v>466</v>
      </c>
    </row>
    <row r="4" spans="1:2" ht="32.1" customHeight="1" x14ac:dyDescent="0.25">
      <c r="A4" s="12" t="s">
        <v>467</v>
      </c>
      <c r="B4" s="16" t="s">
        <v>468</v>
      </c>
    </row>
    <row r="5" spans="1:2" ht="32.1" customHeight="1" x14ac:dyDescent="0.25">
      <c r="A5" s="12" t="s">
        <v>1</v>
      </c>
      <c r="B5" s="16" t="s">
        <v>469</v>
      </c>
    </row>
    <row r="6" spans="1:2" ht="32.1" customHeight="1" x14ac:dyDescent="0.25">
      <c r="A6" s="12" t="s">
        <v>8</v>
      </c>
      <c r="B6" s="16" t="s">
        <v>470</v>
      </c>
    </row>
    <row r="7" spans="1:2" ht="32.1" customHeight="1" x14ac:dyDescent="0.25">
      <c r="A7" s="12" t="s">
        <v>2</v>
      </c>
      <c r="B7" s="16" t="s">
        <v>471</v>
      </c>
    </row>
    <row r="8" spans="1:2" ht="32.1" customHeight="1" x14ac:dyDescent="0.25">
      <c r="A8" s="12" t="s">
        <v>3</v>
      </c>
      <c r="B8" s="16" t="s">
        <v>472</v>
      </c>
    </row>
    <row r="9" spans="1:2" ht="32.1" customHeight="1" x14ac:dyDescent="0.25">
      <c r="A9" s="12" t="s">
        <v>4</v>
      </c>
      <c r="B9" s="16" t="s">
        <v>473</v>
      </c>
    </row>
    <row r="10" spans="1:2" ht="32.1" customHeight="1" x14ac:dyDescent="0.25">
      <c r="A10" s="12" t="s">
        <v>5</v>
      </c>
      <c r="B10" s="16" t="s">
        <v>474</v>
      </c>
    </row>
    <row r="11" spans="1:2" ht="32.1" customHeight="1" x14ac:dyDescent="0.25">
      <c r="A11" s="12" t="s">
        <v>7</v>
      </c>
      <c r="B11" s="16" t="s">
        <v>475</v>
      </c>
    </row>
    <row r="12" spans="1:2" ht="32.1" customHeight="1" x14ac:dyDescent="0.25">
      <c r="A12" s="12" t="s">
        <v>10</v>
      </c>
      <c r="B12" s="16" t="s">
        <v>476</v>
      </c>
    </row>
    <row r="13" spans="1:2" ht="32.1" customHeight="1" x14ac:dyDescent="0.25">
      <c r="A13" s="12" t="s">
        <v>477</v>
      </c>
      <c r="B13" s="16" t="s">
        <v>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Requerimientos</vt:lpstr>
      <vt:lpstr>Resumen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 Nicolas Santillan Velasquez</cp:lastModifiedBy>
  <dcterms:created xsi:type="dcterms:W3CDTF">2026-08-28T00:43:19Z</dcterms:created>
  <dcterms:modified xsi:type="dcterms:W3CDTF">2026-09-02T19:49:45Z</dcterms:modified>
</cp:coreProperties>
</file>