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OneDrive\Escritorio\Proyecto Integrador Desarrollo de Software 3\docs\"/>
    </mc:Choice>
  </mc:AlternateContent>
  <xr:revisionPtr revIDLastSave="0" documentId="13_ncr:1_{BE6EE5BC-F2A3-4968-AC21-996528522016}" xr6:coauthVersionLast="47" xr6:coauthVersionMax="47" xr10:uidLastSave="{00000000-0000-0000-0000-000000000000}"/>
  <bookViews>
    <workbookView xWindow="-120" yWindow="-120" windowWidth="29040" windowHeight="15720" xr2:uid="{00000000-000D-0000-FFFF-FFFF00000000}"/>
  </bookViews>
  <sheets>
    <sheet name="No funcionales" sheetId="1" r:id="rId1"/>
    <sheet name="Resumen" sheetId="2" r:id="rId2"/>
    <sheet name="Leyenda" sheetId="3" r:id="rId3"/>
  </sheets>
  <definedNames>
    <definedName name="_xlnm._FilterDatabase" localSheetId="0" hidden="1">'No funcionales'!$A$1:$J$55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2" l="1"/>
  <c r="C10" i="2"/>
  <c r="C9" i="2"/>
  <c r="C8" i="2"/>
  <c r="C7" i="2"/>
  <c r="C6" i="2"/>
  <c r="C5" i="2"/>
  <c r="C12" i="2" l="1"/>
</calcChain>
</file>

<file path=xl/sharedStrings.xml><?xml version="1.0" encoding="utf-8"?>
<sst xmlns="http://schemas.openxmlformats.org/spreadsheetml/2006/main" count="467" uniqueCount="347">
  <si>
    <t>Id</t>
  </si>
  <si>
    <t>Mecanismo que lo implementa</t>
  </si>
  <si>
    <t>Estudiante</t>
  </si>
  <si>
    <t>Reformulado del requerimiento</t>
  </si>
  <si>
    <t>Grupo</t>
  </si>
  <si>
    <t>Comportamiento</t>
  </si>
  <si>
    <t>Categoría (ISO/IEC 25010)</t>
  </si>
  <si>
    <t>Métrica o criterio de aceptación</t>
  </si>
  <si>
    <t>Evidencia en el sistema</t>
  </si>
  <si>
    <t>Observación</t>
  </si>
  <si>
    <t>Spring WebFlux + R2DBC (pila reactiva no bloqueante)</t>
  </si>
  <si>
    <t>Nicolás Santillán</t>
  </si>
  <si>
    <t>Responder las consultas operativas en menos de 50 ms</t>
  </si>
  <si>
    <t>El sistema responderá las consultas de pedidos, rutas e indicadores en menos de 50 milisegundos bajo carga normal.</t>
  </si>
  <si>
    <t>Eficiencia de desempeño</t>
  </si>
  <si>
    <t>p95 ≤ 50 ms. Medido: /orders 11 ms · /routes 5 ms · /dashboard 5 ms · /reports 8 ms</t>
  </si>
  <si>
    <t>Medición sobre el sistema en ejecución, 12 repeticiones tras calentamiento</t>
  </si>
  <si>
    <t>Medido en entorno local con volumen de datos de prueba (5 pedidos, 2 rutas).</t>
  </si>
  <si>
    <t>OsrmRoutingAdapter sobre OSRM auto-alojado</t>
  </si>
  <si>
    <t>Calcular el recorrido optimizado en menos de 200 ms</t>
  </si>
  <si>
    <t>El sistema calculará el orden óptimo de paradas y el trazado por calles en menos de 200 milisegundos.</t>
  </si>
  <si>
    <t>p95 ≤ 200 ms. Medido: 25 ms para una ruta de 3 paradas</t>
  </si>
  <si>
    <t>GET /routes/1/path con el servicio OSRM activo</t>
  </si>
  <si>
    <t>Incluye las dos llamadas al motor de ruteo (orden de visita y trazado).</t>
  </si>
  <si>
    <t>Keycloak 23 (concesión por contraseña y código de autorización)</t>
  </si>
  <si>
    <t>Emitir el token de acceso en menos de 500 ms</t>
  </si>
  <si>
    <t>El proveedor de identidad emitirá el token de acceso en menos de medio segundo para no demorar el inicio de sesión.</t>
  </si>
  <si>
    <t>≤ 500 ms. Medido: 48 ms</t>
  </si>
  <si>
    <t>Medición sobre /realms/ecoroute/protocol/openid-connect/token</t>
  </si>
  <si>
    <t>spring.codec.max-in-memory-size</t>
  </si>
  <si>
    <t>Admitir evidencias fotográficas de hasta 10 MB</t>
  </si>
  <si>
    <t>El sistema aceptará el envío de fotografías y firmas codificadas en base64 de hasta 10 megabytes por petición.</t>
  </si>
  <si>
    <t>Tamaño máximo de petición en memoria: 10 MB</t>
  </si>
  <si>
    <t>src/main/resources/application.yml</t>
  </si>
  <si>
    <t>Necesario porque la evidencia viaja embebida en el cuerpo JSON.</t>
  </si>
  <si>
    <t>RateLimitFilter.filter()</t>
  </si>
  <si>
    <t>Limitar la frecuencia de peticiones por cliente</t>
  </si>
  <si>
    <t>El sistema restringirá a 120 las peticiones por minuto de un mismo cliente para preservar la capacidad del servicio.</t>
  </si>
  <si>
    <t>120 peticiones por minuto y por cliente</t>
  </si>
  <si>
    <t>RateLimitFilter.java (MAX_REQUESTS_PER_MINUTE)</t>
  </si>
  <si>
    <t>WebClient.timeout() en OsrmRoutingAdapter</t>
  </si>
  <si>
    <t>Acotar la espera al motor de ruteo</t>
  </si>
  <si>
    <t>El sistema abandonará la consulta al motor de ruteo si no responde en 5 segundos, para no bloquear el despacho.</t>
  </si>
  <si>
    <t>Tiempo de espera: 5 segundos</t>
  </si>
  <si>
    <t>OsrmRoutingAdapter.TIMEOUT</t>
  </si>
  <si>
    <t>Dio BaseOptions (connectTimeout / receiveTimeout)</t>
  </si>
  <si>
    <t>Acotar la espera de la aplicación móvil</t>
  </si>
  <si>
    <t>La aplicación móvil abandonará una petición que no reciba respuesta en 10 segundos y mostrará el error al conductor.</t>
  </si>
  <si>
    <t>Conexión y recepción: 10 segundos</t>
  </si>
  <si>
    <t>mobile-app/lib/core/di/injection_container.dart</t>
  </si>
  <si>
    <t>Relevante en zonas con cobertura intermitente.</t>
  </si>
  <si>
    <t>Índices de base de datos sobre claves de consulta</t>
  </si>
  <si>
    <t>Indexar las columnas de consulta frecuente</t>
  </si>
  <si>
    <t>La base de datos resolverá con índice las búsquedas por ruta, vehículo y pedido, evitando recorridos completos de tabla.</t>
  </si>
  <si>
    <t>4 índices: idx_orders_route, idx_gps_history_vehicle, idx_order_items_order, idx_incidents_route</t>
  </si>
  <si>
    <t>src/main/resources/db/migration/</t>
  </si>
  <si>
    <t>El historial GPS es la tabla de mayor crecimiento; su índice por vehículo es el más crítico.</t>
  </si>
  <si>
    <t>Autenticación por JWT sin estado de sesión en el servidor</t>
  </si>
  <si>
    <t>Permitir el escalado horizontal del backend</t>
  </si>
  <si>
    <t>El sistema podrá ejecutarse en varias instancias simultáneas porque no guarda estado de sesión en el servidor.</t>
  </si>
  <si>
    <t>Backend sin sesión en memoria; el token porta la identidad y los roles</t>
  </si>
  <si>
    <t>SecurityConfig.java (servidor de recursos OAuth2)</t>
  </si>
  <si>
    <t>El WebSocket de GPS sí mantiene conexión por nodo: requeriría afinidad o un bus compartido.</t>
  </si>
  <si>
    <t>springdoc-openapi + Swagger UI</t>
  </si>
  <si>
    <t>Exponer la API documentada en formato abierto</t>
  </si>
  <si>
    <t>El sistema publicará la especificación de su API para que otros sistemas puedan integrarse sin documentación externa.</t>
  </si>
  <si>
    <t>Compatibilidad e interoperabilidad</t>
  </si>
  <si>
    <t>Swagger UI disponible (HTTP 200) en /swagger-ui.html</t>
  </si>
  <si>
    <t>build.gradle (springdoc-openapi-starter-webflux-ui 2.5.0)</t>
  </si>
  <si>
    <t>La interfaz es pública; en producción conviene restringirla.</t>
  </si>
  <si>
    <t>GpsWebSocketHandler sobre WebFlux</t>
  </si>
  <si>
    <t>Transmitir la posición en tiempo real por WebSocket</t>
  </si>
  <si>
    <t>El sistema difundirá la ubicación de los vehículos por WebSocket para que el panel se actualice sin recargar.</t>
  </si>
  <si>
    <t>Endpoint ws://&lt;host&gt;/ws/gps</t>
  </si>
  <si>
    <t>WebSocketConfig.java · GpsWebSocketHandler.java</t>
  </si>
  <si>
    <t>AWS SDK S3 (endpoint configurable)</t>
  </si>
  <si>
    <t>Almacenar evidencias en un servicio compatible con S3</t>
  </si>
  <si>
    <t>El sistema guardará las evidencias en cualquier almacenamiento compatible con S3, sin depender de un proveedor concreto.</t>
  </si>
  <si>
    <t>Endpoint, región y credenciales configurables por variables de entorno</t>
  </si>
  <si>
    <t>AwsConfig.java · application.yml (aws.endpoint)</t>
  </si>
  <si>
    <t>En local usa LocalStack; permite migrar a Cloudflare R2 o MinIO sin tocar código.</t>
  </si>
  <si>
    <t>AWS SDK SQS</t>
  </si>
  <si>
    <t>Publicar eventos en una cola compatible con SQS</t>
  </si>
  <si>
    <t>El sistema publicará los eventos de entrega en una cola de mensajes para que otros sistemas puedan consumirlos.</t>
  </si>
  <si>
    <t>URL de cola configurable por variable de entorno</t>
  </si>
  <si>
    <t>NotificationService.java · application.yml (aws.sqs.queue-url)</t>
  </si>
  <si>
    <t>OrderController.bulkImportCsv()</t>
  </si>
  <si>
    <t>Aceptar la carga de pedidos en formato CSV</t>
  </si>
  <si>
    <t>El sistema aceptará archivos CSV para incorporar los pedidos generados por el sistema comercial del cliente.</t>
  </si>
  <si>
    <t>Columnas: trackingNumber, recipientName, deliveryAddress, latitude, longitude</t>
  </si>
  <si>
    <t>OrderController.java · web-admin/src/pages/Orders.tsx</t>
  </si>
  <si>
    <t>Reports.handleExportCsv() · PdfService.generateDeliveryReceipt()</t>
  </si>
  <si>
    <t>Entregar la información en formatos estándar</t>
  </si>
  <si>
    <t>El sistema exportará los reportes en CSV y los comprobantes de entrega en PDF, formatos legibles por cualquier herramienta.</t>
  </si>
  <si>
    <t>Reportes en CSV; comprobantes en PDF</t>
  </si>
  <si>
    <t>web-admin/src/pages/Reports.tsx · PdfService.java (OpenPDF)</t>
  </si>
  <si>
    <t>Teselas de OpenStreetMap + OSRM</t>
  </si>
  <si>
    <t>Operar con cartografía de licencia abierta</t>
  </si>
  <si>
    <t>El sistema usará mapas y motor de ruteo de licencia abierta, sin costos por consulta ni claves de proveedor.</t>
  </si>
  <si>
    <t>Sin clave de API ni costo por consulta cartográfica</t>
  </si>
  <si>
    <t>TrackingMap.tsx · routes_page.dart · servicio OSRM</t>
  </si>
  <si>
    <t>El servidor comunitario de teselas tiene política de uso justo; en producción se requiere un proveedor propio.</t>
  </si>
  <si>
    <t>Interfaz y contenidos redactados en español</t>
  </si>
  <si>
    <t>Presentar toda la interfaz en español</t>
  </si>
  <si>
    <t>El sistema mostrará rótulos, mensajes y reportes en español, el idioma de los usuarios de la operación.</t>
  </si>
  <si>
    <t>Usabilidad</t>
  </si>
  <si>
    <t>100 % de las pantallas del panel y de la aplicación en español</t>
  </si>
  <si>
    <t>web-admin/src/pages/ · mobile-app/lib/features/</t>
  </si>
  <si>
    <t>Bean Validation con mensajes personalizados</t>
  </si>
  <si>
    <t>Explicar los errores de captura con mensajes concretos</t>
  </si>
  <si>
    <t>El sistema indicará qué dato es incorrecto y qué formato se espera, en lugar de un error genérico.</t>
  </si>
  <si>
    <t>Mensajes por campo, por ejemplo: 'El teléfono debe empezar con 9 y tener 9 dígitos'</t>
  </si>
  <si>
    <t>CreateOrderRequest.java · DriverRequest.java · VehicleRequest.java</t>
  </si>
  <si>
    <t>Componente Pagination.tsx</t>
  </si>
  <si>
    <t>Paginar los listados extensos</t>
  </si>
  <si>
    <t>El sistema dividirá en páginas los listados largos para que la pantalla siga siendo manejable al crecer los datos.</t>
  </si>
  <si>
    <t>Paginación en 6 pantallas: pedidos, conductores, vehículos, usuarios, compras y reportes</t>
  </si>
  <si>
    <t>web-admin/src/components/Pagination.tsx</t>
  </si>
  <si>
    <t>Filtros por estado, conductor y fecha; búsqueda por tracking</t>
  </si>
  <si>
    <t>Permitir filtrar y buscar en los listados</t>
  </si>
  <si>
    <t>El usuario podrá acotar la información mostrada por estado, conductor, fecha o número de tracking.</t>
  </si>
  <si>
    <t>Filtros en pedidos, rutas, dashboard y reportes</t>
  </si>
  <si>
    <t>Orders.tsx · Routes.tsx · Dashboard.tsx · Reports.tsx</t>
  </si>
  <si>
    <t>Distintivos de estado con color (getStatusStyle)</t>
  </si>
  <si>
    <t>Distinguir los estados por color</t>
  </si>
  <si>
    <t>El sistema representará cada estado con un color propio para que el usuario lo reconozca sin leer el texto.</t>
  </si>
  <si>
    <t>Estados diferenciados por color en pedidos y rutas</t>
  </si>
  <si>
    <t>Orders.tsx (getStatusStyle) · Routes.tsx</t>
  </si>
  <si>
    <t>ThemeBloc (tema claro y oscuro)</t>
  </si>
  <si>
    <t>Ofrecer modo oscuro en la aplicación móvil</t>
  </si>
  <si>
    <t>El conductor podrá cambiar a modo oscuro para usar la aplicación con poca luz ambiental.</t>
  </si>
  <si>
    <t>Alternancia disponible desde el perfil del conductor</t>
  </si>
  <si>
    <t>mobile-app/lib/core/theme/theme_bloc.dart</t>
  </si>
  <si>
    <t>Defecto conocido: el panel de entregas conserva fondo claro y el texto queda con contraste insuficiente.</t>
  </si>
  <si>
    <t>Marcadores numerados según stop_sequence</t>
  </si>
  <si>
    <t>Indicar visualmente el orden de visita</t>
  </si>
  <si>
    <t>La aplicación numerará las paradas en el mapa y en la lista para que el conductor sepa a dónde ir primero.</t>
  </si>
  <si>
    <t>Numeración coincidente entre mapa y listado</t>
  </si>
  <si>
    <t>_RoutesPageState (marcadores y lista ordenada)</t>
  </si>
  <si>
    <t>_OrderDetailPageState._isReadOnly</t>
  </si>
  <si>
    <t>Impedir la edición de registros ya cerrados</t>
  </si>
  <si>
    <t>El sistema bloqueará la modificación de un pedido finalizado para evitar cambios accidentales sobre la evidencia.</t>
  </si>
  <si>
    <t>Pedidos DELIVERED y FAILED en modo de solo lectura</t>
  </si>
  <si>
    <t>mobile-app/lib/features/orders/presentation/pages/order_detail_page.dart</t>
  </si>
  <si>
    <t>RoutePlannerService.haversineFallback()</t>
  </si>
  <si>
    <t>Continuar operando si falla el motor de ruteo</t>
  </si>
  <si>
    <t>El sistema calculará una ruta aproximada en línea recta cuando el motor de ruteo no responda, sin detener el despacho.</t>
  </si>
  <si>
    <t>Fiabilidad</t>
  </si>
  <si>
    <t>Degradación automática tras 5 s sin respuesta; el resultado se marca con su origen</t>
  </si>
  <si>
    <t>RoutePlannerService.java (onErrorResume)</t>
  </si>
  <si>
    <t>Verificado: la respuesta indica 'osrm' o 'haversine' según el caso.</t>
  </si>
  <si>
    <t>Spring Boot Actuator (endpoint de salud)</t>
  </si>
  <si>
    <t>Exponer el estado de salud del sistema</t>
  </si>
  <si>
    <t>El sistema publicará su estado y el de cada dependencia para que un supervisor externo detecte fallos.</t>
  </si>
  <si>
    <t>/actuator/health con detalle por componente: r2dbc, diskSpace, ping, ssl, redis</t>
  </si>
  <si>
    <t>application.yml (management.endpoints)</t>
  </si>
  <si>
    <t>El estado global figura DOWN porque Redis está declarado como dependencia y no hay servidor Redis desplegado.</t>
  </si>
  <si>
    <t>healthcheck de PostgreSQL en docker-compose</t>
  </si>
  <si>
    <t>Verificar que la base de datos esté lista antes de arrancar</t>
  </si>
  <si>
    <t>El orquestador comprobará que la base de datos acepte conexiones antes de iniciar el backend.</t>
  </si>
  <si>
    <t>pg_isready cada 5 s, 5 reintentos; el backend depende de service_healthy</t>
  </si>
  <si>
    <t>docker-compose.yml</t>
  </si>
  <si>
    <t>Políticas de reinicio de contenedores</t>
  </si>
  <si>
    <t>Reiniciar automáticamente los servicios caídos</t>
  </si>
  <si>
    <t>Los servicios se reiniciarán solos si el proceso termina de forma inesperada.</t>
  </si>
  <si>
    <t>restart: always (backend) · restart: unless-stopped (motor de ruteo)</t>
  </si>
  <si>
    <t>Claves foráneas y restricciones de unicidad</t>
  </si>
  <si>
    <t>Garantizar la integridad de los datos en la base</t>
  </si>
  <si>
    <t>La base de datos impedirá referencias inválidas y duplicados en los campos que deben ser únicos.</t>
  </si>
  <si>
    <t>27 claves foráneas y 18 restricciones de unicidad</t>
  </si>
  <si>
    <t>Flyway (migraciones versionadas)</t>
  </si>
  <si>
    <t>Versionar y validar el esquema de base de datos</t>
  </si>
  <si>
    <t>El sistema aplicará y validará las migraciones al arrancar, garantizando que el esquema corresponda a la versión del código.</t>
  </si>
  <si>
    <t>8 migraciones (V1 a V8) validadas en cada arranque</t>
  </si>
  <si>
    <t>src/main/resources/db/migration/ · log de arranque de Flyway</t>
  </si>
  <si>
    <t>@Transactional en el cambio de estado de la ruta</t>
  </si>
  <si>
    <t>Ejecutar el despacho como una operación atómica</t>
  </si>
  <si>
    <t>El sistema aplicará el cambio de estado de la ruta y de sus pedidos como una sola operación; si algo falla, no queda a medias.</t>
  </si>
  <si>
    <t>Transacción única para la ruta y la cascada de pedidos</t>
  </si>
  <si>
    <t>RouteUseCasesImpl.updateRouteStatus()</t>
  </si>
  <si>
    <t>Keycloak como proveedor de identidad (OAuth2 / OIDC)</t>
  </si>
  <si>
    <t>Delegar la autenticación en un proveedor de identidad</t>
  </si>
  <si>
    <t>El sistema no almacenará contraseñas: la autenticación se delega en un proveedor de identidad estándar.</t>
  </si>
  <si>
    <t>Seguridad</t>
  </si>
  <si>
    <t>Ninguna contraseña en la base de datos ni en el código de la aplicación</t>
  </si>
  <si>
    <t>SecurityConfig.java · realm ecoroute</t>
  </si>
  <si>
    <t>PKCE con desafío S256 en el panel web</t>
  </si>
  <si>
    <t>Proteger el flujo de autorización del panel web</t>
  </si>
  <si>
    <t>El sistema usará el mecanismo PKCE para impedir que un tercero reutilice el código de autorización.</t>
  </si>
  <si>
    <t>code_challenge_method = S256; cliente público sin secreto embebido</t>
  </si>
  <si>
    <t>web-admin/src/services/keycloak.ts</t>
  </si>
  <si>
    <t>Verificado en el navegador: la URL de autorización incluye el desafío S256.</t>
  </si>
  <si>
    <t>SecurityConfig.securityWebFilterChain() + ProtectedRoute.tsx</t>
  </si>
  <si>
    <t>Autorizar cada operación según el rol del usuario</t>
  </si>
  <si>
    <t>El sistema autorizará cada petición según el rol del token, tanto en el servidor como en la navegación del panel.</t>
  </si>
  <si>
    <t>Verificado: un token DRIVER recibe 403 en /reports y 200 en /orders</t>
  </si>
  <si>
    <t>SecurityConfig.java · web-admin/src/components/ProtectedRoute.tsx</t>
  </si>
  <si>
    <t>La verificación del panel es de conveniencia; la decisión vinculante ocurre en el backend.</t>
  </si>
  <si>
    <t>Validación de firma del JWT contra el emisor</t>
  </si>
  <si>
    <t>Aceptar únicamente tokens legítimos</t>
  </si>
  <si>
    <t>El sistema rechazará cualquier token que no haya sido firmado por el proveedor de identidad configurado.</t>
  </si>
  <si>
    <t>Verificado: 'Bearer mock_ADMIN' responde 401; sin token responde 401</t>
  </si>
  <si>
    <t>SecurityConfig.java (issuer-uri, jwk-set-uri)</t>
  </si>
  <si>
    <t>El acceso simulado que existía en versiones previas fue eliminado.</t>
  </si>
  <si>
    <t>flutter_secure_storage</t>
  </si>
  <si>
    <t>Guardar la sesión del dispositivo en almacenamiento cifrado</t>
  </si>
  <si>
    <t>La aplicación guardará el token del conductor en el almacén seguro del sistema operativo, no en texto plano.</t>
  </si>
  <si>
    <t>Uso de Keystore de Android a través de flutter_secure_storage</t>
  </si>
  <si>
    <t>mobile-app/lib/features/auth/data/datasources/auth_local_data_source.dart</t>
  </si>
  <si>
    <t>Bean Validation en los objetos de entrada</t>
  </si>
  <si>
    <t>Validar toda entrada antes de procesarla</t>
  </si>
  <si>
    <t>El sistema rechazará los datos con formato inválido antes de llegar a la lógica de negocio o a la base de datos.</t>
  </si>
  <si>
    <t>Expresiones regulares para licencia, placa y teléfono; longitudes y formato de correo</t>
  </si>
  <si>
    <t>Reduce la superficie de inyección y evita datos corruptos.</t>
  </si>
  <si>
    <t>Actuator protegido por autenticación</t>
  </si>
  <si>
    <t>Restringir los endpoints de administración</t>
  </si>
  <si>
    <t>El sistema exigirá autenticación para consultar métricas e información interna de operación.</t>
  </si>
  <si>
    <t>Verificado: /actuator/prometheus y /actuator/metrics responden 401 sin token y 200 con rol ADMIN</t>
  </si>
  <si>
    <t>SecurityConfig.java</t>
  </si>
  <si>
    <t>Solo /actuator/health queda accesible sin autenticación.</t>
  </si>
  <si>
    <t>DeliveryProof (imagen, firma, DNI, coordenadas y fecha)</t>
  </si>
  <si>
    <t>Registrar evidencia suficiente para sustentar la entrega</t>
  </si>
  <si>
    <t>El sistema conservará fotografía, firma, documento del receptor, coordenadas y hora de cada entrega.</t>
  </si>
  <si>
    <t>5 elementos de evidencia por entrega, más el comprobante en PDF</t>
  </si>
  <si>
    <t>DeliveryProof.java · PdfService.java</t>
  </si>
  <si>
    <t>No hay sello criptográfico: la evidencia es completa pero no demuestra por sí misma que no fue alterada.</t>
  </si>
  <si>
    <t>Configuración por variables de entorno</t>
  </si>
  <si>
    <t>Mantener las credenciales fuera del código</t>
  </si>
  <si>
    <t>El sistema tomará las contraseñas y credenciales del entorno de ejecución, no del repositorio.</t>
  </si>
  <si>
    <t>Perfil prod sin valores por defecto: exige DB_USER, DB_PASSWORD y KEYCLOAK_ISSUER_URI</t>
  </si>
  <si>
    <t>src/main/resources/application-prod.yml</t>
  </si>
  <si>
    <t>Vigencia configurada de los tokens de acceso</t>
  </si>
  <si>
    <t>Acotar la vigencia de las credenciales de sesión</t>
  </si>
  <si>
    <t>El sistema limitará la duración del token para reducir el riesgo si un dispositivo se pierde.</t>
  </si>
  <si>
    <t>Token del conductor: 8 horas (una jornada). Panel web: renovación automática</t>
  </si>
  <si>
    <t>setup-keycloak.ps1 (access.token.lifespan) · api.refreshAccessToken()</t>
  </si>
  <si>
    <t>La app móvil no renueva el token: al vencer, el conductor debe iniciar sesión de nuevo.</t>
  </si>
  <si>
    <t>Arquitectura hexagonal (domain / application / infrastructure)</t>
  </si>
  <si>
    <t>Aislar la lógica de negocio de la tecnología</t>
  </si>
  <si>
    <t>El sistema mantendrá la lógica de negocio independiente de la base de datos, la API y los servicios externos.</t>
  </si>
  <si>
    <t>Mantenibilidad</t>
  </si>
  <si>
    <t>Puertos de entrada y salida en domain/ports; adaptadores en infrastructure</t>
  </si>
  <si>
    <t>src/main/java/com/ecoroute/backend/</t>
  </si>
  <si>
    <t>Verificado al incorporar OSRM: bastó un puerto nuevo y su adaptador, sin tocar los casos de uso existentes.</t>
  </si>
  <si>
    <t>Clean Architecture por feature + patrón BLoC</t>
  </si>
  <si>
    <t>Organizar la aplicación móvil por funcionalidad y capas</t>
  </si>
  <si>
    <t>La aplicación móvil separará datos, dominio y presentación dentro de cada funcionalidad.</t>
  </si>
  <si>
    <t>6 features (auth, gps, history, orders, profile, routes), cada una con data/domain/presentation</t>
  </si>
  <si>
    <t>mobile-app/lib/features/</t>
  </si>
  <si>
    <t>GetIt (móvil) y Spring (backend) como contenedores de dependencias</t>
  </si>
  <si>
    <t>Resolver las dependencias por inyección</t>
  </si>
  <si>
    <t>Los componentes recibirán sus dependencias en lugar de construirlas, para poder sustituirlas en pruebas.</t>
  </si>
  <si>
    <t>Registro centralizado en injection_container.dart y en el contexto de Spring</t>
  </si>
  <si>
    <t>Flyway con migraciones incrementales</t>
  </si>
  <si>
    <t>Evolucionar el esquema sin perder datos</t>
  </si>
  <si>
    <t>Los cambios de esquema se aplicarán como migraciones incrementales versionadas y reproducibles.</t>
  </si>
  <si>
    <t>V1 a V8; la última incorporó geometría de ruta y secuencia de paradas</t>
  </si>
  <si>
    <t>Micrometer + registro Prometheus</t>
  </si>
  <si>
    <t>Exponer métricas para diagnóstico y monitoreo</t>
  </si>
  <si>
    <t>El sistema publicará métricas de ejecución en formato estándar para su recolección por un sistema de monitoreo.</t>
  </si>
  <si>
    <t>Verificado: 69 métricas expuestas en /actuator/prometheus</t>
  </si>
  <si>
    <t>build.gradle (micrometer-registry-prometheus) · application.yml</t>
  </si>
  <si>
    <t>Niveles de registro definidos por perfil</t>
  </si>
  <si>
    <t>Ajustar el detalle de los registros según el entorno</t>
  </si>
  <si>
    <t>El sistema registrará con detalle en desarrollo y de forma resumida en producción.</t>
  </si>
  <si>
    <t>DEBUG en el perfil local; INFO en el perfil prod</t>
  </si>
  <si>
    <t>application-local.yml · application-prod.yml</t>
  </si>
  <si>
    <t>Pruebas automatizadas con JUnit y Reactor Test</t>
  </si>
  <si>
    <t>Contar con pruebas automatizadas de la lógica de negocio</t>
  </si>
  <si>
    <t>El sistema dispondrá de pruebas automatizadas que verifiquen las reglas de negocio antes de cada entrega.</t>
  </si>
  <si>
    <t>4 archivos de prueba sobre casos de uso de pedidos, rutas y cálculo de distancia</t>
  </si>
  <si>
    <t>src/test/java/com/ecoroute/backend/</t>
  </si>
  <si>
    <t>DEFECTO: la suite no compila. OrderUseCasesImplTest construye el record Order con una firma antigua, así que 'gradlew test' falla y las pruebas no se ejecutan.</t>
  </si>
  <si>
    <t>ESLint con TypeScript y flutter analyze</t>
  </si>
  <si>
    <t>Analizar el código de forma estática</t>
  </si>
  <si>
    <t>El sistema contará con análisis estático que detecte errores de tipo y malas prácticas antes de ejecutar.</t>
  </si>
  <si>
    <t>ESLint 9 con typescript-eslint en el panel; flutter analyze en la aplicación móvil</t>
  </si>
  <si>
    <t>web-admin/eslint.config.js · mobile-app/analysis_options.yaml</t>
  </si>
  <si>
    <t>flutter analyze reporta avisos pendientes: uso de print y APIs de color obsoletas.</t>
  </si>
  <si>
    <t>Docker Compose con cinco servicios</t>
  </si>
  <si>
    <t>Reproducir el entorno completo con un solo comando</t>
  </si>
  <si>
    <t>El sistema se levantará completo en cualquier máquina con Docker, sin instalar dependencias manualmente.</t>
  </si>
  <si>
    <t>Portabilidad</t>
  </si>
  <si>
    <t>docker compose up -d levanta base de datos, identidad, almacenamiento, ruteo y backend</t>
  </si>
  <si>
    <t>Perfiles de configuración de Spring</t>
  </si>
  <si>
    <t>Separar la configuración por entorno</t>
  </si>
  <si>
    <t>El sistema tomará su configuración según el entorno activo, sin cambiar el código ni el empaquetado.</t>
  </si>
  <si>
    <t>Tres perfiles: local, docker y prod</t>
  </si>
  <si>
    <t>application-local.yml · application-docker.yml · application-prod.yml</t>
  </si>
  <si>
    <t>Sustitución de variables en la configuración</t>
  </si>
  <si>
    <t>Parametrizar los puntos de integración externos</t>
  </si>
  <si>
    <t>Las direcciones de la base de datos, el proveedor de identidad, el almacenamiento y el motor de ruteo serán configurables.</t>
  </si>
  <si>
    <t>DB_HOST, KEYCLOAK_ISSUER_URI, AWS_ENDPOINT, OSRM_BASE_URL, entre otras</t>
  </si>
  <si>
    <t>application.yml y perfiles asociados</t>
  </si>
  <si>
    <t>La aplicación móvil aún tiene sus direcciones fijas en el código.</t>
  </si>
  <si>
    <t>Flutter (base de código única)</t>
  </si>
  <si>
    <t>Mantener una sola base de código para la aplicación móvil</t>
  </si>
  <si>
    <t>La aplicación del conductor se construirá desde una única base de código para varias plataformas.</t>
  </si>
  <si>
    <t>Proyecto Flutter con destinos Android e iOS generados</t>
  </si>
  <si>
    <t>mobile-app/</t>
  </si>
  <si>
    <t>Solo se ha compilado y probado en Android; iOS no está verificado.</t>
  </si>
  <si>
    <t>OSRM auto-alojado con el mapa de Perú</t>
  </si>
  <si>
    <t>Ejecutar el ruteo sin depender de servicios de terceros</t>
  </si>
  <si>
    <t>El sistema calculará rutas con un motor propio, sin enviar direcciones a servicios externos ni pagar por consulta.</t>
  </si>
  <si>
    <t>Contenedor OSRM con el extracto de Perú preprocesado; sin clave ni cuota</t>
  </si>
  <si>
    <t>docker-compose.yml (servicio osrm) · infra/osrm/</t>
  </si>
  <si>
    <t>Los datos preprocesados ocupan cerca de 1 GB y conviene regenerarlos cada trimestre.</t>
  </si>
  <si>
    <t>Requerimientos no funcionales por característica de calidad</t>
  </si>
  <si>
    <t>Clasificación según ISO/IEC 25010. Derivados del sistema construido y medidos sobre su ejecución.</t>
  </si>
  <si>
    <t>Característica de calidad</t>
  </si>
  <si>
    <t>Requerimientos</t>
  </si>
  <si>
    <t>Total</t>
  </si>
  <si>
    <t>Mediciones tomadas sobre el sistema en ejecución</t>
  </si>
  <si>
    <t>Indicador</t>
  </si>
  <si>
    <t>Valor medido</t>
  </si>
  <si>
    <t>Consulta de pedidos (GET /orders)</t>
  </si>
  <si>
    <t>8 ms (p50) · 11 ms (p95)</t>
  </si>
  <si>
    <t>Consulta de rutas (GET /routes)</t>
  </si>
  <si>
    <t>5 ms (p50)</t>
  </si>
  <si>
    <t>Cálculo de recorrido con OSRM</t>
  </si>
  <si>
    <t>21 ms (p50) · 25 ms (máx)</t>
  </si>
  <si>
    <t>Indicadores del cuadro de mando</t>
  </si>
  <si>
    <t>4 ms (p50)</t>
  </si>
  <si>
    <t>Reporte de rendimiento por conductor</t>
  </si>
  <si>
    <t>Emisión de token de acceso</t>
  </si>
  <si>
    <t>48 ms</t>
  </si>
  <si>
    <t>Métricas expuestas para monitoreo</t>
  </si>
  <si>
    <t>69</t>
  </si>
  <si>
    <t>Migraciones de base de datos aplicadas</t>
  </si>
  <si>
    <t>8 (V1 a V8)</t>
  </si>
  <si>
    <t>Claves foráneas / restricciones únicas</t>
  </si>
  <si>
    <t>27 / 18</t>
  </si>
  <si>
    <t>Mediciones del 30 de agosto de 2026 en entorno local, con datos de prueba.</t>
  </si>
  <si>
    <t>Cómo se construyó este listado</t>
  </si>
  <si>
    <t>Origen</t>
  </si>
  <si>
    <t>Cada requerimiento no funcional se derivó de una decisión técnica presente en el proyecto y, cuando aplica, se midió sobre el sistema en ejecución. No se incluyeron atributos deseables que el sistema no tenga.</t>
  </si>
  <si>
    <t>Columnas A-F</t>
  </si>
  <si>
    <t>Mantienen la estructura de la plantilla del curso. Las columnas G-J (cabecera verde) aportan la clasificación de calidad, la métrica y la evidencia.</t>
  </si>
  <si>
    <t>Componente, biblioteca o archivo de configuración que hace cumplir el requerimiento.</t>
  </si>
  <si>
    <t>Enunciado del requerimiento no funcional en infinitivo.</t>
  </si>
  <si>
    <t>Número de la característica de calidad ISO/IEC 25010 correspondiente.</t>
  </si>
  <si>
    <t>Valor comprobable. Cuando dice 'Medido' o 'Verificado', proviene de una prueba ejecutada sobre el sistema.</t>
  </si>
  <si>
    <t>Amarillo: limitación o dependencia a tener en cuenta. Rojo: defecto confirmado que incumple el requerimiento.</t>
  </si>
  <si>
    <t>Nota sobre las mediciones</t>
  </si>
  <si>
    <t>Se tomaron en entorno local con datos de prueba (5 pedidos, 2 rutas). Sirven como línea base; los umbrales deberán revalidarse con volumen real de producción.</t>
  </si>
  <si>
    <t>Fecha</t>
  </si>
  <si>
    <t>30 de agosto de 2026, sobre la rama feature/ws1-auth-real.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</si>
</sst>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b/>
      <sz val="12"/>
      <name val="Arial"/>
    </font>
    <font>
      <i/>
      <sz val="10"/>
      <name val="Arial"/>
    </font>
    <font>
      <b/>
      <sz val="11"/>
      <name val="Arial"/>
    </font>
    <font>
      <i/>
      <sz val="9"/>
      <name val="Arial"/>
    </font>
  </fonts>
  <fills count="6">
    <fill>
      <patternFill patternType="none"/>
    </fill>
    <fill>
      <patternFill patternType="gray125"/>
    </fill>
    <fill>
      <patternFill patternType="solid">
        <fgColor rgb="FFFFFF00"/>
      </patternFill>
    </fill>
    <fill>
      <patternFill patternType="solid">
        <fgColor rgb="FF00B050"/>
      </patternFill>
    </fill>
    <fill>
      <patternFill patternType="solid">
        <fgColor rgb="FFFFF2CC"/>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vertical="top"/>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4" fillId="0" borderId="0" xfId="0" applyFont="1"/>
    <xf numFmtId="0" fontId="1" fillId="2" borderId="0" xfId="0" applyFont="1" applyFill="1"/>
    <xf numFmtId="0" fontId="2" fillId="0" borderId="0" xfId="0" applyFont="1"/>
    <xf numFmtId="0" fontId="1" fillId="0" borderId="0" xfId="0" applyFont="1"/>
    <xf numFmtId="0" fontId="5" fillId="0" borderId="0" xfId="0" applyFont="1"/>
    <xf numFmtId="0" fontId="6"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abSelected="1" workbookViewId="0">
      <pane xSplit="1" ySplit="1" topLeftCell="B2" activePane="bottomRight" state="frozen"/>
      <selection pane="topRight"/>
      <selection pane="bottomLeft"/>
      <selection pane="bottomRight"/>
    </sheetView>
  </sheetViews>
  <sheetFormatPr baseColWidth="10" defaultColWidth="9.140625" defaultRowHeight="15" x14ac:dyDescent="0.25"/>
  <cols>
    <col min="1" max="1" width="5" customWidth="1"/>
    <col min="2" max="2" width="42" customWidth="1"/>
    <col min="3" max="3" width="18" customWidth="1"/>
    <col min="4" max="4" width="40" customWidth="1"/>
    <col min="5" max="5" width="7" customWidth="1"/>
    <col min="6" max="6" width="58" customWidth="1"/>
    <col min="7" max="7" width="24" customWidth="1"/>
    <col min="8" max="8" width="46" customWidth="1"/>
    <col min="9" max="9" width="44" customWidth="1"/>
    <col min="10" max="10" width="50" customWidth="1"/>
  </cols>
  <sheetData>
    <row r="1" spans="1:10" ht="32.1" customHeight="1" x14ac:dyDescent="0.25">
      <c r="A1" s="1" t="s">
        <v>0</v>
      </c>
      <c r="B1" s="1" t="s">
        <v>1</v>
      </c>
      <c r="C1" s="1" t="s">
        <v>2</v>
      </c>
      <c r="D1" s="1" t="s">
        <v>3</v>
      </c>
      <c r="E1" s="1" t="s">
        <v>4</v>
      </c>
      <c r="F1" s="1" t="s">
        <v>5</v>
      </c>
      <c r="G1" s="2" t="s">
        <v>6</v>
      </c>
      <c r="H1" s="2" t="s">
        <v>7</v>
      </c>
      <c r="I1" s="2" t="s">
        <v>8</v>
      </c>
      <c r="J1" s="2" t="s">
        <v>9</v>
      </c>
    </row>
    <row r="2" spans="1:10" ht="25.5" x14ac:dyDescent="0.25">
      <c r="A2" s="3">
        <v>1</v>
      </c>
      <c r="B2" s="4" t="s">
        <v>10</v>
      </c>
      <c r="C2" s="5" t="s">
        <v>11</v>
      </c>
      <c r="D2" s="4" t="s">
        <v>12</v>
      </c>
      <c r="E2" s="3">
        <v>1</v>
      </c>
      <c r="F2" s="4" t="s">
        <v>13</v>
      </c>
      <c r="G2" s="4" t="s">
        <v>14</v>
      </c>
      <c r="H2" s="4" t="s">
        <v>15</v>
      </c>
      <c r="I2" s="4" t="s">
        <v>16</v>
      </c>
      <c r="J2" s="6" t="s">
        <v>17</v>
      </c>
    </row>
    <row r="3" spans="1:10" ht="25.5" x14ac:dyDescent="0.25">
      <c r="A3" s="3">
        <v>2</v>
      </c>
      <c r="B3" s="4" t="s">
        <v>18</v>
      </c>
      <c r="C3" s="5" t="s">
        <v>11</v>
      </c>
      <c r="D3" s="4" t="s">
        <v>19</v>
      </c>
      <c r="E3" s="3">
        <v>1</v>
      </c>
      <c r="F3" s="4" t="s">
        <v>20</v>
      </c>
      <c r="G3" s="4" t="s">
        <v>14</v>
      </c>
      <c r="H3" s="4" t="s">
        <v>21</v>
      </c>
      <c r="I3" s="4" t="s">
        <v>22</v>
      </c>
      <c r="J3" s="6" t="s">
        <v>23</v>
      </c>
    </row>
    <row r="4" spans="1:10" ht="25.5" x14ac:dyDescent="0.25">
      <c r="A4" s="3">
        <v>3</v>
      </c>
      <c r="B4" s="4" t="s">
        <v>24</v>
      </c>
      <c r="C4" s="5" t="s">
        <v>11</v>
      </c>
      <c r="D4" s="4" t="s">
        <v>25</v>
      </c>
      <c r="E4" s="3">
        <v>1</v>
      </c>
      <c r="F4" s="4" t="s">
        <v>26</v>
      </c>
      <c r="G4" s="4" t="s">
        <v>14</v>
      </c>
      <c r="H4" s="4" t="s">
        <v>27</v>
      </c>
      <c r="I4" s="4" t="s">
        <v>28</v>
      </c>
      <c r="J4" s="4"/>
    </row>
    <row r="5" spans="1:10" ht="25.5" x14ac:dyDescent="0.25">
      <c r="A5" s="3">
        <v>4</v>
      </c>
      <c r="B5" s="4" t="s">
        <v>29</v>
      </c>
      <c r="C5" s="5" t="s">
        <v>11</v>
      </c>
      <c r="D5" s="4" t="s">
        <v>30</v>
      </c>
      <c r="E5" s="3">
        <v>1</v>
      </c>
      <c r="F5" s="4" t="s">
        <v>31</v>
      </c>
      <c r="G5" s="4" t="s">
        <v>14</v>
      </c>
      <c r="H5" s="4" t="s">
        <v>32</v>
      </c>
      <c r="I5" s="4" t="s">
        <v>33</v>
      </c>
      <c r="J5" s="6" t="s">
        <v>34</v>
      </c>
    </row>
    <row r="6" spans="1:10" ht="25.5" x14ac:dyDescent="0.25">
      <c r="A6" s="3">
        <v>5</v>
      </c>
      <c r="B6" s="4" t="s">
        <v>35</v>
      </c>
      <c r="C6" s="5" t="s">
        <v>11</v>
      </c>
      <c r="D6" s="4" t="s">
        <v>36</v>
      </c>
      <c r="E6" s="3">
        <v>1</v>
      </c>
      <c r="F6" s="4" t="s">
        <v>37</v>
      </c>
      <c r="G6" s="4" t="s">
        <v>14</v>
      </c>
      <c r="H6" s="4" t="s">
        <v>38</v>
      </c>
      <c r="I6" s="4" t="s">
        <v>39</v>
      </c>
      <c r="J6" s="4"/>
    </row>
    <row r="7" spans="1:10" ht="25.5" x14ac:dyDescent="0.25">
      <c r="A7" s="3">
        <v>6</v>
      </c>
      <c r="B7" s="4" t="s">
        <v>40</v>
      </c>
      <c r="C7" s="5" t="s">
        <v>11</v>
      </c>
      <c r="D7" s="4" t="s">
        <v>41</v>
      </c>
      <c r="E7" s="3">
        <v>1</v>
      </c>
      <c r="F7" s="4" t="s">
        <v>42</v>
      </c>
      <c r="G7" s="4" t="s">
        <v>14</v>
      </c>
      <c r="H7" s="4" t="s">
        <v>43</v>
      </c>
      <c r="I7" s="4" t="s">
        <v>44</v>
      </c>
      <c r="J7" s="4"/>
    </row>
    <row r="8" spans="1:10" ht="25.5" x14ac:dyDescent="0.25">
      <c r="A8" s="3">
        <v>7</v>
      </c>
      <c r="B8" s="4" t="s">
        <v>45</v>
      </c>
      <c r="C8" s="5" t="s">
        <v>11</v>
      </c>
      <c r="D8" s="4" t="s">
        <v>46</v>
      </c>
      <c r="E8" s="3">
        <v>1</v>
      </c>
      <c r="F8" s="4" t="s">
        <v>47</v>
      </c>
      <c r="G8" s="4" t="s">
        <v>14</v>
      </c>
      <c r="H8" s="4" t="s">
        <v>48</v>
      </c>
      <c r="I8" s="4" t="s">
        <v>49</v>
      </c>
      <c r="J8" s="6" t="s">
        <v>50</v>
      </c>
    </row>
    <row r="9" spans="1:10" ht="25.5" x14ac:dyDescent="0.25">
      <c r="A9" s="3">
        <v>8</v>
      </c>
      <c r="B9" s="4" t="s">
        <v>51</v>
      </c>
      <c r="C9" s="5" t="s">
        <v>11</v>
      </c>
      <c r="D9" s="4" t="s">
        <v>52</v>
      </c>
      <c r="E9" s="3">
        <v>1</v>
      </c>
      <c r="F9" s="4" t="s">
        <v>53</v>
      </c>
      <c r="G9" s="4" t="s">
        <v>14</v>
      </c>
      <c r="H9" s="4" t="s">
        <v>54</v>
      </c>
      <c r="I9" s="4" t="s">
        <v>55</v>
      </c>
      <c r="J9" s="6" t="s">
        <v>56</v>
      </c>
    </row>
    <row r="10" spans="1:10" ht="25.5" x14ac:dyDescent="0.25">
      <c r="A10" s="3">
        <v>9</v>
      </c>
      <c r="B10" s="4" t="s">
        <v>57</v>
      </c>
      <c r="C10" s="5" t="s">
        <v>11</v>
      </c>
      <c r="D10" s="4" t="s">
        <v>58</v>
      </c>
      <c r="E10" s="3">
        <v>1</v>
      </c>
      <c r="F10" s="4" t="s">
        <v>59</v>
      </c>
      <c r="G10" s="4" t="s">
        <v>14</v>
      </c>
      <c r="H10" s="4" t="s">
        <v>60</v>
      </c>
      <c r="I10" s="4" t="s">
        <v>61</v>
      </c>
      <c r="J10" s="6" t="s">
        <v>62</v>
      </c>
    </row>
    <row r="11" spans="1:10" ht="25.5" x14ac:dyDescent="0.25">
      <c r="A11" s="3">
        <v>10</v>
      </c>
      <c r="B11" s="4" t="s">
        <v>63</v>
      </c>
      <c r="C11" s="5" t="s">
        <v>11</v>
      </c>
      <c r="D11" s="4" t="s">
        <v>64</v>
      </c>
      <c r="E11" s="3">
        <v>2</v>
      </c>
      <c r="F11" s="4" t="s">
        <v>65</v>
      </c>
      <c r="G11" s="4" t="s">
        <v>66</v>
      </c>
      <c r="H11" s="4" t="s">
        <v>67</v>
      </c>
      <c r="I11" s="4" t="s">
        <v>68</v>
      </c>
      <c r="J11" s="6" t="s">
        <v>69</v>
      </c>
    </row>
    <row r="12" spans="1:10" ht="25.5" x14ac:dyDescent="0.25">
      <c r="A12" s="3">
        <v>11</v>
      </c>
      <c r="B12" s="4" t="s">
        <v>70</v>
      </c>
      <c r="C12" s="5" t="s">
        <v>11</v>
      </c>
      <c r="D12" s="4" t="s">
        <v>71</v>
      </c>
      <c r="E12" s="3">
        <v>2</v>
      </c>
      <c r="F12" s="4" t="s">
        <v>72</v>
      </c>
      <c r="G12" s="4" t="s">
        <v>66</v>
      </c>
      <c r="H12" s="4" t="s">
        <v>73</v>
      </c>
      <c r="I12" s="4" t="s">
        <v>74</v>
      </c>
      <c r="J12" s="4"/>
    </row>
    <row r="13" spans="1:10" ht="25.5" x14ac:dyDescent="0.25">
      <c r="A13" s="3">
        <v>12</v>
      </c>
      <c r="B13" s="4" t="s">
        <v>75</v>
      </c>
      <c r="C13" s="5" t="s">
        <v>11</v>
      </c>
      <c r="D13" s="4" t="s">
        <v>76</v>
      </c>
      <c r="E13" s="3">
        <v>2</v>
      </c>
      <c r="F13" s="4" t="s">
        <v>77</v>
      </c>
      <c r="G13" s="4" t="s">
        <v>66</v>
      </c>
      <c r="H13" s="4" t="s">
        <v>78</v>
      </c>
      <c r="I13" s="4" t="s">
        <v>79</v>
      </c>
      <c r="J13" s="6" t="s">
        <v>80</v>
      </c>
    </row>
    <row r="14" spans="1:10" ht="25.5" x14ac:dyDescent="0.25">
      <c r="A14" s="3">
        <v>13</v>
      </c>
      <c r="B14" s="4" t="s">
        <v>81</v>
      </c>
      <c r="C14" s="5" t="s">
        <v>11</v>
      </c>
      <c r="D14" s="4" t="s">
        <v>82</v>
      </c>
      <c r="E14" s="3">
        <v>2</v>
      </c>
      <c r="F14" s="4" t="s">
        <v>83</v>
      </c>
      <c r="G14" s="4" t="s">
        <v>66</v>
      </c>
      <c r="H14" s="4" t="s">
        <v>84</v>
      </c>
      <c r="I14" s="4" t="s">
        <v>85</v>
      </c>
      <c r="J14" s="4"/>
    </row>
    <row r="15" spans="1:10" ht="25.5" x14ac:dyDescent="0.25">
      <c r="A15" s="3">
        <v>14</v>
      </c>
      <c r="B15" s="4" t="s">
        <v>86</v>
      </c>
      <c r="C15" s="5" t="s">
        <v>11</v>
      </c>
      <c r="D15" s="4" t="s">
        <v>87</v>
      </c>
      <c r="E15" s="3">
        <v>2</v>
      </c>
      <c r="F15" s="4" t="s">
        <v>88</v>
      </c>
      <c r="G15" s="4" t="s">
        <v>66</v>
      </c>
      <c r="H15" s="4" t="s">
        <v>89</v>
      </c>
      <c r="I15" s="4" t="s">
        <v>90</v>
      </c>
      <c r="J15" s="4"/>
    </row>
    <row r="16" spans="1:10" ht="25.5" x14ac:dyDescent="0.25">
      <c r="A16" s="3">
        <v>15</v>
      </c>
      <c r="B16" s="4" t="s">
        <v>91</v>
      </c>
      <c r="C16" s="5" t="s">
        <v>11</v>
      </c>
      <c r="D16" s="4" t="s">
        <v>92</v>
      </c>
      <c r="E16" s="3">
        <v>2</v>
      </c>
      <c r="F16" s="4" t="s">
        <v>93</v>
      </c>
      <c r="G16" s="4" t="s">
        <v>66</v>
      </c>
      <c r="H16" s="4" t="s">
        <v>94</v>
      </c>
      <c r="I16" s="4" t="s">
        <v>95</v>
      </c>
      <c r="J16" s="4"/>
    </row>
    <row r="17" spans="1:10" ht="25.5" x14ac:dyDescent="0.25">
      <c r="A17" s="3">
        <v>16</v>
      </c>
      <c r="B17" s="4" t="s">
        <v>96</v>
      </c>
      <c r="C17" s="5" t="s">
        <v>11</v>
      </c>
      <c r="D17" s="4" t="s">
        <v>97</v>
      </c>
      <c r="E17" s="3">
        <v>2</v>
      </c>
      <c r="F17" s="4" t="s">
        <v>98</v>
      </c>
      <c r="G17" s="4" t="s">
        <v>66</v>
      </c>
      <c r="H17" s="4" t="s">
        <v>99</v>
      </c>
      <c r="I17" s="4" t="s">
        <v>100</v>
      </c>
      <c r="J17" s="6" t="s">
        <v>101</v>
      </c>
    </row>
    <row r="18" spans="1:10" ht="25.5" x14ac:dyDescent="0.25">
      <c r="A18" s="3">
        <v>17</v>
      </c>
      <c r="B18" s="4" t="s">
        <v>102</v>
      </c>
      <c r="C18" s="5" t="s">
        <v>11</v>
      </c>
      <c r="D18" s="4" t="s">
        <v>103</v>
      </c>
      <c r="E18" s="3">
        <v>3</v>
      </c>
      <c r="F18" s="4" t="s">
        <v>104</v>
      </c>
      <c r="G18" s="4" t="s">
        <v>105</v>
      </c>
      <c r="H18" s="4" t="s">
        <v>106</v>
      </c>
      <c r="I18" s="4" t="s">
        <v>107</v>
      </c>
      <c r="J18" s="4"/>
    </row>
    <row r="19" spans="1:10" ht="25.5" x14ac:dyDescent="0.25">
      <c r="A19" s="3">
        <v>18</v>
      </c>
      <c r="B19" s="4" t="s">
        <v>108</v>
      </c>
      <c r="C19" s="5" t="s">
        <v>11</v>
      </c>
      <c r="D19" s="4" t="s">
        <v>109</v>
      </c>
      <c r="E19" s="3">
        <v>3</v>
      </c>
      <c r="F19" s="4" t="s">
        <v>110</v>
      </c>
      <c r="G19" s="4" t="s">
        <v>105</v>
      </c>
      <c r="H19" s="4" t="s">
        <v>111</v>
      </c>
      <c r="I19" s="4" t="s">
        <v>112</v>
      </c>
      <c r="J19" s="4"/>
    </row>
    <row r="20" spans="1:10" ht="25.5" x14ac:dyDescent="0.25">
      <c r="A20" s="3">
        <v>19</v>
      </c>
      <c r="B20" s="4" t="s">
        <v>113</v>
      </c>
      <c r="C20" s="5" t="s">
        <v>11</v>
      </c>
      <c r="D20" s="4" t="s">
        <v>114</v>
      </c>
      <c r="E20" s="3">
        <v>3</v>
      </c>
      <c r="F20" s="4" t="s">
        <v>115</v>
      </c>
      <c r="G20" s="4" t="s">
        <v>105</v>
      </c>
      <c r="H20" s="4" t="s">
        <v>116</v>
      </c>
      <c r="I20" s="4" t="s">
        <v>117</v>
      </c>
      <c r="J20" s="4"/>
    </row>
    <row r="21" spans="1:10" ht="25.5" x14ac:dyDescent="0.25">
      <c r="A21" s="3">
        <v>20</v>
      </c>
      <c r="B21" s="4" t="s">
        <v>118</v>
      </c>
      <c r="C21" s="5" t="s">
        <v>11</v>
      </c>
      <c r="D21" s="4" t="s">
        <v>119</v>
      </c>
      <c r="E21" s="3">
        <v>3</v>
      </c>
      <c r="F21" s="4" t="s">
        <v>120</v>
      </c>
      <c r="G21" s="4" t="s">
        <v>105</v>
      </c>
      <c r="H21" s="4" t="s">
        <v>121</v>
      </c>
      <c r="I21" s="4" t="s">
        <v>122</v>
      </c>
      <c r="J21" s="4"/>
    </row>
    <row r="22" spans="1:10" ht="25.5" x14ac:dyDescent="0.25">
      <c r="A22" s="3">
        <v>21</v>
      </c>
      <c r="B22" s="4" t="s">
        <v>123</v>
      </c>
      <c r="C22" s="5" t="s">
        <v>11</v>
      </c>
      <c r="D22" s="4" t="s">
        <v>124</v>
      </c>
      <c r="E22" s="3">
        <v>3</v>
      </c>
      <c r="F22" s="4" t="s">
        <v>125</v>
      </c>
      <c r="G22" s="4" t="s">
        <v>105</v>
      </c>
      <c r="H22" s="4" t="s">
        <v>126</v>
      </c>
      <c r="I22" s="4" t="s">
        <v>127</v>
      </c>
      <c r="J22" s="4"/>
    </row>
    <row r="23" spans="1:10" ht="25.5" x14ac:dyDescent="0.25">
      <c r="A23" s="3">
        <v>22</v>
      </c>
      <c r="B23" s="4" t="s">
        <v>128</v>
      </c>
      <c r="C23" s="5" t="s">
        <v>11</v>
      </c>
      <c r="D23" s="4" t="s">
        <v>129</v>
      </c>
      <c r="E23" s="3">
        <v>3</v>
      </c>
      <c r="F23" s="4" t="s">
        <v>130</v>
      </c>
      <c r="G23" s="4" t="s">
        <v>105</v>
      </c>
      <c r="H23" s="4" t="s">
        <v>131</v>
      </c>
      <c r="I23" s="4" t="s">
        <v>132</v>
      </c>
      <c r="J23" s="6" t="s">
        <v>133</v>
      </c>
    </row>
    <row r="24" spans="1:10" ht="25.5" x14ac:dyDescent="0.25">
      <c r="A24" s="3">
        <v>23</v>
      </c>
      <c r="B24" s="4" t="s">
        <v>134</v>
      </c>
      <c r="C24" s="5" t="s">
        <v>11</v>
      </c>
      <c r="D24" s="4" t="s">
        <v>135</v>
      </c>
      <c r="E24" s="3">
        <v>3</v>
      </c>
      <c r="F24" s="4" t="s">
        <v>136</v>
      </c>
      <c r="G24" s="4" t="s">
        <v>105</v>
      </c>
      <c r="H24" s="4" t="s">
        <v>137</v>
      </c>
      <c r="I24" s="4" t="s">
        <v>138</v>
      </c>
      <c r="J24" s="4"/>
    </row>
    <row r="25" spans="1:10" ht="38.25" x14ac:dyDescent="0.25">
      <c r="A25" s="3">
        <v>24</v>
      </c>
      <c r="B25" s="4" t="s">
        <v>139</v>
      </c>
      <c r="C25" s="5" t="s">
        <v>11</v>
      </c>
      <c r="D25" s="4" t="s">
        <v>140</v>
      </c>
      <c r="E25" s="3">
        <v>3</v>
      </c>
      <c r="F25" s="4" t="s">
        <v>141</v>
      </c>
      <c r="G25" s="4" t="s">
        <v>105</v>
      </c>
      <c r="H25" s="4" t="s">
        <v>142</v>
      </c>
      <c r="I25" s="4" t="s">
        <v>143</v>
      </c>
      <c r="J25" s="4"/>
    </row>
    <row r="26" spans="1:10" ht="25.5" x14ac:dyDescent="0.25">
      <c r="A26" s="3">
        <v>25</v>
      </c>
      <c r="B26" s="4" t="s">
        <v>144</v>
      </c>
      <c r="C26" s="5" t="s">
        <v>11</v>
      </c>
      <c r="D26" s="4" t="s">
        <v>145</v>
      </c>
      <c r="E26" s="3">
        <v>4</v>
      </c>
      <c r="F26" s="4" t="s">
        <v>146</v>
      </c>
      <c r="G26" s="4" t="s">
        <v>147</v>
      </c>
      <c r="H26" s="4" t="s">
        <v>148</v>
      </c>
      <c r="I26" s="4" t="s">
        <v>149</v>
      </c>
      <c r="J26" s="6" t="s">
        <v>150</v>
      </c>
    </row>
    <row r="27" spans="1:10" ht="38.25" x14ac:dyDescent="0.25">
      <c r="A27" s="3">
        <v>26</v>
      </c>
      <c r="B27" s="4" t="s">
        <v>151</v>
      </c>
      <c r="C27" s="5" t="s">
        <v>11</v>
      </c>
      <c r="D27" s="4" t="s">
        <v>152</v>
      </c>
      <c r="E27" s="3">
        <v>4</v>
      </c>
      <c r="F27" s="4" t="s">
        <v>153</v>
      </c>
      <c r="G27" s="4" t="s">
        <v>147</v>
      </c>
      <c r="H27" s="4" t="s">
        <v>154</v>
      </c>
      <c r="I27" s="4" t="s">
        <v>155</v>
      </c>
      <c r="J27" s="6" t="s">
        <v>156</v>
      </c>
    </row>
    <row r="28" spans="1:10" ht="25.5" x14ac:dyDescent="0.25">
      <c r="A28" s="3">
        <v>27</v>
      </c>
      <c r="B28" s="4" t="s">
        <v>157</v>
      </c>
      <c r="C28" s="5" t="s">
        <v>11</v>
      </c>
      <c r="D28" s="4" t="s">
        <v>158</v>
      </c>
      <c r="E28" s="3">
        <v>4</v>
      </c>
      <c r="F28" s="4" t="s">
        <v>159</v>
      </c>
      <c r="G28" s="4" t="s">
        <v>147</v>
      </c>
      <c r="H28" s="4" t="s">
        <v>160</v>
      </c>
      <c r="I28" s="4" t="s">
        <v>161</v>
      </c>
      <c r="J28" s="4"/>
    </row>
    <row r="29" spans="1:10" ht="25.5" x14ac:dyDescent="0.25">
      <c r="A29" s="3">
        <v>28</v>
      </c>
      <c r="B29" s="4" t="s">
        <v>162</v>
      </c>
      <c r="C29" s="5" t="s">
        <v>11</v>
      </c>
      <c r="D29" s="4" t="s">
        <v>163</v>
      </c>
      <c r="E29" s="3">
        <v>4</v>
      </c>
      <c r="F29" s="4" t="s">
        <v>164</v>
      </c>
      <c r="G29" s="4" t="s">
        <v>147</v>
      </c>
      <c r="H29" s="4" t="s">
        <v>165</v>
      </c>
      <c r="I29" s="4" t="s">
        <v>161</v>
      </c>
      <c r="J29" s="4"/>
    </row>
    <row r="30" spans="1:10" ht="25.5" x14ac:dyDescent="0.25">
      <c r="A30" s="3">
        <v>29</v>
      </c>
      <c r="B30" s="4" t="s">
        <v>166</v>
      </c>
      <c r="C30" s="5" t="s">
        <v>11</v>
      </c>
      <c r="D30" s="4" t="s">
        <v>167</v>
      </c>
      <c r="E30" s="3">
        <v>4</v>
      </c>
      <c r="F30" s="4" t="s">
        <v>168</v>
      </c>
      <c r="G30" s="4" t="s">
        <v>147</v>
      </c>
      <c r="H30" s="4" t="s">
        <v>169</v>
      </c>
      <c r="I30" s="4" t="s">
        <v>55</v>
      </c>
      <c r="J30" s="4"/>
    </row>
    <row r="31" spans="1:10" ht="25.5" x14ac:dyDescent="0.25">
      <c r="A31" s="3">
        <v>30</v>
      </c>
      <c r="B31" s="4" t="s">
        <v>170</v>
      </c>
      <c r="C31" s="5" t="s">
        <v>11</v>
      </c>
      <c r="D31" s="4" t="s">
        <v>171</v>
      </c>
      <c r="E31" s="3">
        <v>4</v>
      </c>
      <c r="F31" s="4" t="s">
        <v>172</v>
      </c>
      <c r="G31" s="4" t="s">
        <v>147</v>
      </c>
      <c r="H31" s="4" t="s">
        <v>173</v>
      </c>
      <c r="I31" s="4" t="s">
        <v>174</v>
      </c>
      <c r="J31" s="4"/>
    </row>
    <row r="32" spans="1:10" ht="25.5" x14ac:dyDescent="0.25">
      <c r="A32" s="3">
        <v>31</v>
      </c>
      <c r="B32" s="4" t="s">
        <v>175</v>
      </c>
      <c r="C32" s="5" t="s">
        <v>11</v>
      </c>
      <c r="D32" s="4" t="s">
        <v>176</v>
      </c>
      <c r="E32" s="3">
        <v>4</v>
      </c>
      <c r="F32" s="4" t="s">
        <v>177</v>
      </c>
      <c r="G32" s="4" t="s">
        <v>147</v>
      </c>
      <c r="H32" s="4" t="s">
        <v>178</v>
      </c>
      <c r="I32" s="4" t="s">
        <v>179</v>
      </c>
      <c r="J32" s="4"/>
    </row>
    <row r="33" spans="1:10" ht="25.5" x14ac:dyDescent="0.25">
      <c r="A33" s="3">
        <v>32</v>
      </c>
      <c r="B33" s="4" t="s">
        <v>180</v>
      </c>
      <c r="C33" s="5" t="s">
        <v>11</v>
      </c>
      <c r="D33" s="4" t="s">
        <v>181</v>
      </c>
      <c r="E33" s="3">
        <v>5</v>
      </c>
      <c r="F33" s="4" t="s">
        <v>182</v>
      </c>
      <c r="G33" s="4" t="s">
        <v>183</v>
      </c>
      <c r="H33" s="4" t="s">
        <v>184</v>
      </c>
      <c r="I33" s="4" t="s">
        <v>185</v>
      </c>
      <c r="J33" s="4"/>
    </row>
    <row r="34" spans="1:10" ht="25.5" x14ac:dyDescent="0.25">
      <c r="A34" s="3">
        <v>33</v>
      </c>
      <c r="B34" s="4" t="s">
        <v>186</v>
      </c>
      <c r="C34" s="5" t="s">
        <v>11</v>
      </c>
      <c r="D34" s="4" t="s">
        <v>187</v>
      </c>
      <c r="E34" s="3">
        <v>5</v>
      </c>
      <c r="F34" s="4" t="s">
        <v>188</v>
      </c>
      <c r="G34" s="4" t="s">
        <v>183</v>
      </c>
      <c r="H34" s="4" t="s">
        <v>189</v>
      </c>
      <c r="I34" s="4" t="s">
        <v>190</v>
      </c>
      <c r="J34" s="6" t="s">
        <v>191</v>
      </c>
    </row>
    <row r="35" spans="1:10" ht="25.5" x14ac:dyDescent="0.25">
      <c r="A35" s="3">
        <v>34</v>
      </c>
      <c r="B35" s="4" t="s">
        <v>192</v>
      </c>
      <c r="C35" s="5" t="s">
        <v>11</v>
      </c>
      <c r="D35" s="4" t="s">
        <v>193</v>
      </c>
      <c r="E35" s="3">
        <v>5</v>
      </c>
      <c r="F35" s="4" t="s">
        <v>194</v>
      </c>
      <c r="G35" s="4" t="s">
        <v>183</v>
      </c>
      <c r="H35" s="4" t="s">
        <v>195</v>
      </c>
      <c r="I35" s="4" t="s">
        <v>196</v>
      </c>
      <c r="J35" s="6" t="s">
        <v>197</v>
      </c>
    </row>
    <row r="36" spans="1:10" ht="25.5" x14ac:dyDescent="0.25">
      <c r="A36" s="3">
        <v>35</v>
      </c>
      <c r="B36" s="4" t="s">
        <v>198</v>
      </c>
      <c r="C36" s="5" t="s">
        <v>11</v>
      </c>
      <c r="D36" s="4" t="s">
        <v>199</v>
      </c>
      <c r="E36" s="3">
        <v>5</v>
      </c>
      <c r="F36" s="4" t="s">
        <v>200</v>
      </c>
      <c r="G36" s="4" t="s">
        <v>183</v>
      </c>
      <c r="H36" s="4" t="s">
        <v>201</v>
      </c>
      <c r="I36" s="4" t="s">
        <v>202</v>
      </c>
      <c r="J36" s="6" t="s">
        <v>203</v>
      </c>
    </row>
    <row r="37" spans="1:10" ht="38.25" x14ac:dyDescent="0.25">
      <c r="A37" s="3">
        <v>36</v>
      </c>
      <c r="B37" s="4" t="s">
        <v>204</v>
      </c>
      <c r="C37" s="5" t="s">
        <v>11</v>
      </c>
      <c r="D37" s="4" t="s">
        <v>205</v>
      </c>
      <c r="E37" s="3">
        <v>5</v>
      </c>
      <c r="F37" s="4" t="s">
        <v>206</v>
      </c>
      <c r="G37" s="4" t="s">
        <v>183</v>
      </c>
      <c r="H37" s="4" t="s">
        <v>207</v>
      </c>
      <c r="I37" s="4" t="s">
        <v>208</v>
      </c>
      <c r="J37" s="4"/>
    </row>
    <row r="38" spans="1:10" ht="25.5" x14ac:dyDescent="0.25">
      <c r="A38" s="3">
        <v>37</v>
      </c>
      <c r="B38" s="4" t="s">
        <v>209</v>
      </c>
      <c r="C38" s="5" t="s">
        <v>11</v>
      </c>
      <c r="D38" s="4" t="s">
        <v>210</v>
      </c>
      <c r="E38" s="3">
        <v>5</v>
      </c>
      <c r="F38" s="4" t="s">
        <v>211</v>
      </c>
      <c r="G38" s="4" t="s">
        <v>183</v>
      </c>
      <c r="H38" s="4" t="s">
        <v>212</v>
      </c>
      <c r="I38" s="4" t="s">
        <v>112</v>
      </c>
      <c r="J38" s="6" t="s">
        <v>213</v>
      </c>
    </row>
    <row r="39" spans="1:10" ht="25.5" x14ac:dyDescent="0.25">
      <c r="A39" s="3">
        <v>38</v>
      </c>
      <c r="B39" s="4" t="s">
        <v>214</v>
      </c>
      <c r="C39" s="5" t="s">
        <v>11</v>
      </c>
      <c r="D39" s="4" t="s">
        <v>215</v>
      </c>
      <c r="E39" s="3">
        <v>5</v>
      </c>
      <c r="F39" s="4" t="s">
        <v>216</v>
      </c>
      <c r="G39" s="4" t="s">
        <v>183</v>
      </c>
      <c r="H39" s="4" t="s">
        <v>217</v>
      </c>
      <c r="I39" s="4" t="s">
        <v>218</v>
      </c>
      <c r="J39" s="6" t="s">
        <v>219</v>
      </c>
    </row>
    <row r="40" spans="1:10" ht="25.5" x14ac:dyDescent="0.25">
      <c r="A40" s="3">
        <v>39</v>
      </c>
      <c r="B40" s="4" t="s">
        <v>220</v>
      </c>
      <c r="C40" s="5" t="s">
        <v>11</v>
      </c>
      <c r="D40" s="4" t="s">
        <v>221</v>
      </c>
      <c r="E40" s="3">
        <v>5</v>
      </c>
      <c r="F40" s="4" t="s">
        <v>222</v>
      </c>
      <c r="G40" s="4" t="s">
        <v>183</v>
      </c>
      <c r="H40" s="4" t="s">
        <v>223</v>
      </c>
      <c r="I40" s="4" t="s">
        <v>224</v>
      </c>
      <c r="J40" s="6" t="s">
        <v>225</v>
      </c>
    </row>
    <row r="41" spans="1:10" ht="25.5" x14ac:dyDescent="0.25">
      <c r="A41" s="3">
        <v>40</v>
      </c>
      <c r="B41" s="4" t="s">
        <v>226</v>
      </c>
      <c r="C41" s="5" t="s">
        <v>11</v>
      </c>
      <c r="D41" s="4" t="s">
        <v>227</v>
      </c>
      <c r="E41" s="3">
        <v>5</v>
      </c>
      <c r="F41" s="4" t="s">
        <v>228</v>
      </c>
      <c r="G41" s="4" t="s">
        <v>183</v>
      </c>
      <c r="H41" s="4" t="s">
        <v>229</v>
      </c>
      <c r="I41" s="4" t="s">
        <v>230</v>
      </c>
      <c r="J41" s="4"/>
    </row>
    <row r="42" spans="1:10" ht="25.5" x14ac:dyDescent="0.25">
      <c r="A42" s="3">
        <v>41</v>
      </c>
      <c r="B42" s="4" t="s">
        <v>231</v>
      </c>
      <c r="C42" s="5" t="s">
        <v>11</v>
      </c>
      <c r="D42" s="4" t="s">
        <v>232</v>
      </c>
      <c r="E42" s="3">
        <v>5</v>
      </c>
      <c r="F42" s="4" t="s">
        <v>233</v>
      </c>
      <c r="G42" s="4" t="s">
        <v>183</v>
      </c>
      <c r="H42" s="4" t="s">
        <v>234</v>
      </c>
      <c r="I42" s="4" t="s">
        <v>235</v>
      </c>
      <c r="J42" s="6" t="s">
        <v>236</v>
      </c>
    </row>
    <row r="43" spans="1:10" ht="25.5" x14ac:dyDescent="0.25">
      <c r="A43" s="3">
        <v>42</v>
      </c>
      <c r="B43" s="4" t="s">
        <v>237</v>
      </c>
      <c r="C43" s="5" t="s">
        <v>11</v>
      </c>
      <c r="D43" s="4" t="s">
        <v>238</v>
      </c>
      <c r="E43" s="3">
        <v>6</v>
      </c>
      <c r="F43" s="4" t="s">
        <v>239</v>
      </c>
      <c r="G43" s="4" t="s">
        <v>240</v>
      </c>
      <c r="H43" s="4" t="s">
        <v>241</v>
      </c>
      <c r="I43" s="4" t="s">
        <v>242</v>
      </c>
      <c r="J43" s="6" t="s">
        <v>243</v>
      </c>
    </row>
    <row r="44" spans="1:10" ht="25.5" x14ac:dyDescent="0.25">
      <c r="A44" s="3">
        <v>43</v>
      </c>
      <c r="B44" s="4" t="s">
        <v>244</v>
      </c>
      <c r="C44" s="5" t="s">
        <v>11</v>
      </c>
      <c r="D44" s="4" t="s">
        <v>245</v>
      </c>
      <c r="E44" s="3">
        <v>6</v>
      </c>
      <c r="F44" s="4" t="s">
        <v>246</v>
      </c>
      <c r="G44" s="4" t="s">
        <v>240</v>
      </c>
      <c r="H44" s="4" t="s">
        <v>247</v>
      </c>
      <c r="I44" s="4" t="s">
        <v>248</v>
      </c>
      <c r="J44" s="4"/>
    </row>
    <row r="45" spans="1:10" ht="25.5" x14ac:dyDescent="0.25">
      <c r="A45" s="3">
        <v>44</v>
      </c>
      <c r="B45" s="4" t="s">
        <v>249</v>
      </c>
      <c r="C45" s="5" t="s">
        <v>11</v>
      </c>
      <c r="D45" s="4" t="s">
        <v>250</v>
      </c>
      <c r="E45" s="3">
        <v>6</v>
      </c>
      <c r="F45" s="4" t="s">
        <v>251</v>
      </c>
      <c r="G45" s="4" t="s">
        <v>240</v>
      </c>
      <c r="H45" s="4" t="s">
        <v>252</v>
      </c>
      <c r="I45" s="4" t="s">
        <v>49</v>
      </c>
      <c r="J45" s="4"/>
    </row>
    <row r="46" spans="1:10" ht="25.5" x14ac:dyDescent="0.25">
      <c r="A46" s="3">
        <v>45</v>
      </c>
      <c r="B46" s="4" t="s">
        <v>253</v>
      </c>
      <c r="C46" s="5" t="s">
        <v>11</v>
      </c>
      <c r="D46" s="4" t="s">
        <v>254</v>
      </c>
      <c r="E46" s="3">
        <v>6</v>
      </c>
      <c r="F46" s="4" t="s">
        <v>255</v>
      </c>
      <c r="G46" s="4" t="s">
        <v>240</v>
      </c>
      <c r="H46" s="4" t="s">
        <v>256</v>
      </c>
      <c r="I46" s="4" t="s">
        <v>55</v>
      </c>
      <c r="J46" s="4"/>
    </row>
    <row r="47" spans="1:10" ht="25.5" x14ac:dyDescent="0.25">
      <c r="A47" s="3">
        <v>46</v>
      </c>
      <c r="B47" s="4" t="s">
        <v>257</v>
      </c>
      <c r="C47" s="5" t="s">
        <v>11</v>
      </c>
      <c r="D47" s="4" t="s">
        <v>258</v>
      </c>
      <c r="E47" s="3">
        <v>6</v>
      </c>
      <c r="F47" s="4" t="s">
        <v>259</v>
      </c>
      <c r="G47" s="4" t="s">
        <v>240</v>
      </c>
      <c r="H47" s="4" t="s">
        <v>260</v>
      </c>
      <c r="I47" s="4" t="s">
        <v>261</v>
      </c>
      <c r="J47" s="4"/>
    </row>
    <row r="48" spans="1:10" ht="25.5" x14ac:dyDescent="0.25">
      <c r="A48" s="3">
        <v>47</v>
      </c>
      <c r="B48" s="4" t="s">
        <v>262</v>
      </c>
      <c r="C48" s="5" t="s">
        <v>11</v>
      </c>
      <c r="D48" s="4" t="s">
        <v>263</v>
      </c>
      <c r="E48" s="3">
        <v>6</v>
      </c>
      <c r="F48" s="4" t="s">
        <v>264</v>
      </c>
      <c r="G48" s="4" t="s">
        <v>240</v>
      </c>
      <c r="H48" s="4" t="s">
        <v>265</v>
      </c>
      <c r="I48" s="4" t="s">
        <v>266</v>
      </c>
      <c r="J48" s="4"/>
    </row>
    <row r="49" spans="1:10" ht="38.25" x14ac:dyDescent="0.25">
      <c r="A49" s="3">
        <v>48</v>
      </c>
      <c r="B49" s="4" t="s">
        <v>267</v>
      </c>
      <c r="C49" s="5" t="s">
        <v>11</v>
      </c>
      <c r="D49" s="4" t="s">
        <v>268</v>
      </c>
      <c r="E49" s="3">
        <v>6</v>
      </c>
      <c r="F49" s="4" t="s">
        <v>269</v>
      </c>
      <c r="G49" s="4" t="s">
        <v>240</v>
      </c>
      <c r="H49" s="4" t="s">
        <v>270</v>
      </c>
      <c r="I49" s="4" t="s">
        <v>271</v>
      </c>
      <c r="J49" s="7" t="s">
        <v>272</v>
      </c>
    </row>
    <row r="50" spans="1:10" ht="25.5" x14ac:dyDescent="0.25">
      <c r="A50" s="3">
        <v>49</v>
      </c>
      <c r="B50" s="4" t="s">
        <v>273</v>
      </c>
      <c r="C50" s="5" t="s">
        <v>11</v>
      </c>
      <c r="D50" s="4" t="s">
        <v>274</v>
      </c>
      <c r="E50" s="3">
        <v>6</v>
      </c>
      <c r="F50" s="4" t="s">
        <v>275</v>
      </c>
      <c r="G50" s="4" t="s">
        <v>240</v>
      </c>
      <c r="H50" s="4" t="s">
        <v>276</v>
      </c>
      <c r="I50" s="4" t="s">
        <v>277</v>
      </c>
      <c r="J50" s="6" t="s">
        <v>278</v>
      </c>
    </row>
    <row r="51" spans="1:10" ht="25.5" x14ac:dyDescent="0.25">
      <c r="A51" s="3">
        <v>50</v>
      </c>
      <c r="B51" s="4" t="s">
        <v>279</v>
      </c>
      <c r="C51" s="5" t="s">
        <v>11</v>
      </c>
      <c r="D51" s="4" t="s">
        <v>280</v>
      </c>
      <c r="E51" s="3">
        <v>7</v>
      </c>
      <c r="F51" s="4" t="s">
        <v>281</v>
      </c>
      <c r="G51" s="4" t="s">
        <v>282</v>
      </c>
      <c r="H51" s="4" t="s">
        <v>283</v>
      </c>
      <c r="I51" s="4" t="s">
        <v>161</v>
      </c>
      <c r="J51" s="4"/>
    </row>
    <row r="52" spans="1:10" ht="25.5" x14ac:dyDescent="0.25">
      <c r="A52" s="3">
        <v>51</v>
      </c>
      <c r="B52" s="4" t="s">
        <v>284</v>
      </c>
      <c r="C52" s="5" t="s">
        <v>11</v>
      </c>
      <c r="D52" s="4" t="s">
        <v>285</v>
      </c>
      <c r="E52" s="3">
        <v>7</v>
      </c>
      <c r="F52" s="4" t="s">
        <v>286</v>
      </c>
      <c r="G52" s="4" t="s">
        <v>282</v>
      </c>
      <c r="H52" s="4" t="s">
        <v>287</v>
      </c>
      <c r="I52" s="4" t="s">
        <v>288</v>
      </c>
      <c r="J52" s="4"/>
    </row>
    <row r="53" spans="1:10" ht="25.5" x14ac:dyDescent="0.25">
      <c r="A53" s="3">
        <v>52</v>
      </c>
      <c r="B53" s="4" t="s">
        <v>289</v>
      </c>
      <c r="C53" s="5" t="s">
        <v>11</v>
      </c>
      <c r="D53" s="4" t="s">
        <v>290</v>
      </c>
      <c r="E53" s="3">
        <v>7</v>
      </c>
      <c r="F53" s="4" t="s">
        <v>291</v>
      </c>
      <c r="G53" s="4" t="s">
        <v>282</v>
      </c>
      <c r="H53" s="4" t="s">
        <v>292</v>
      </c>
      <c r="I53" s="4" t="s">
        <v>293</v>
      </c>
      <c r="J53" s="6" t="s">
        <v>294</v>
      </c>
    </row>
    <row r="54" spans="1:10" ht="25.5" x14ac:dyDescent="0.25">
      <c r="A54" s="3">
        <v>53</v>
      </c>
      <c r="B54" s="4" t="s">
        <v>295</v>
      </c>
      <c r="C54" s="5" t="s">
        <v>11</v>
      </c>
      <c r="D54" s="4" t="s">
        <v>296</v>
      </c>
      <c r="E54" s="3">
        <v>7</v>
      </c>
      <c r="F54" s="4" t="s">
        <v>297</v>
      </c>
      <c r="G54" s="4" t="s">
        <v>282</v>
      </c>
      <c r="H54" s="4" t="s">
        <v>298</v>
      </c>
      <c r="I54" s="4" t="s">
        <v>299</v>
      </c>
      <c r="J54" s="6" t="s">
        <v>300</v>
      </c>
    </row>
    <row r="55" spans="1:10" ht="25.5" x14ac:dyDescent="0.25">
      <c r="A55" s="3">
        <v>54</v>
      </c>
      <c r="B55" s="4" t="s">
        <v>301</v>
      </c>
      <c r="C55" s="5" t="s">
        <v>11</v>
      </c>
      <c r="D55" s="4" t="s">
        <v>302</v>
      </c>
      <c r="E55" s="3">
        <v>7</v>
      </c>
      <c r="F55" s="4" t="s">
        <v>303</v>
      </c>
      <c r="G55" s="4" t="s">
        <v>282</v>
      </c>
      <c r="H55" s="4" t="s">
        <v>304</v>
      </c>
      <c r="I55" s="4" t="s">
        <v>305</v>
      </c>
      <c r="J55" s="6" t="s">
        <v>306</v>
      </c>
    </row>
  </sheetData>
  <autoFilter ref="A1:J5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heetViews>
  <sheetFormatPr baseColWidth="10" defaultColWidth="9.140625" defaultRowHeight="15" x14ac:dyDescent="0.25"/>
  <cols>
    <col min="1" max="1" width="46" customWidth="1"/>
    <col min="2" max="2" width="44" customWidth="1"/>
    <col min="3" max="3" width="16" customWidth="1"/>
  </cols>
  <sheetData>
    <row r="1" spans="1:3" ht="15.75" x14ac:dyDescent="0.25">
      <c r="A1" s="8" t="s">
        <v>307</v>
      </c>
    </row>
    <row r="2" spans="1:3" x14ac:dyDescent="0.25">
      <c r="A2" s="9" t="s">
        <v>308</v>
      </c>
    </row>
    <row r="4" spans="1:3" x14ac:dyDescent="0.25">
      <c r="A4" s="10" t="s">
        <v>4</v>
      </c>
      <c r="B4" s="10" t="s">
        <v>309</v>
      </c>
      <c r="C4" s="10" t="s">
        <v>310</v>
      </c>
    </row>
    <row r="5" spans="1:3" x14ac:dyDescent="0.25">
      <c r="A5" s="11">
        <v>1</v>
      </c>
      <c r="B5" s="11" t="s">
        <v>14</v>
      </c>
      <c r="C5" s="11">
        <f>COUNTIF('No funcionales'!$E$2:$E$55,A5)</f>
        <v>9</v>
      </c>
    </row>
    <row r="6" spans="1:3" x14ac:dyDescent="0.25">
      <c r="A6" s="11">
        <v>2</v>
      </c>
      <c r="B6" s="11" t="s">
        <v>66</v>
      </c>
      <c r="C6" s="11">
        <f>COUNTIF('No funcionales'!$E$2:$E$55,A6)</f>
        <v>7</v>
      </c>
    </row>
    <row r="7" spans="1:3" x14ac:dyDescent="0.25">
      <c r="A7" s="11">
        <v>3</v>
      </c>
      <c r="B7" s="11" t="s">
        <v>105</v>
      </c>
      <c r="C7" s="11">
        <f>COUNTIF('No funcionales'!$E$2:$E$55,A7)</f>
        <v>8</v>
      </c>
    </row>
    <row r="8" spans="1:3" x14ac:dyDescent="0.25">
      <c r="A8" s="11">
        <v>4</v>
      </c>
      <c r="B8" s="11" t="s">
        <v>147</v>
      </c>
      <c r="C8" s="11">
        <f>COUNTIF('No funcionales'!$E$2:$E$55,A8)</f>
        <v>7</v>
      </c>
    </row>
    <row r="9" spans="1:3" x14ac:dyDescent="0.25">
      <c r="A9" s="11">
        <v>5</v>
      </c>
      <c r="B9" s="11" t="s">
        <v>183</v>
      </c>
      <c r="C9" s="11">
        <f>COUNTIF('No funcionales'!$E$2:$E$55,A9)</f>
        <v>10</v>
      </c>
    </row>
    <row r="10" spans="1:3" x14ac:dyDescent="0.25">
      <c r="A10" s="11">
        <v>6</v>
      </c>
      <c r="B10" s="11" t="s">
        <v>240</v>
      </c>
      <c r="C10" s="11">
        <f>COUNTIF('No funcionales'!$E$2:$E$55,A10)</f>
        <v>8</v>
      </c>
    </row>
    <row r="11" spans="1:3" x14ac:dyDescent="0.25">
      <c r="A11" s="11">
        <v>7</v>
      </c>
      <c r="B11" s="11" t="s">
        <v>282</v>
      </c>
      <c r="C11" s="11">
        <f>COUNTIF('No funcionales'!$E$2:$E$55,A11)</f>
        <v>5</v>
      </c>
    </row>
    <row r="12" spans="1:3" x14ac:dyDescent="0.25">
      <c r="B12" s="12" t="s">
        <v>311</v>
      </c>
      <c r="C12" s="12">
        <f>SUM(C5:C11)</f>
        <v>54</v>
      </c>
    </row>
    <row r="14" spans="1:3" x14ac:dyDescent="0.25">
      <c r="A14" s="13" t="s">
        <v>312</v>
      </c>
    </row>
    <row r="15" spans="1:3" x14ac:dyDescent="0.25">
      <c r="A15" s="10" t="s">
        <v>313</v>
      </c>
      <c r="B15" s="10" t="s">
        <v>314</v>
      </c>
    </row>
    <row r="16" spans="1:3" x14ac:dyDescent="0.25">
      <c r="A16" s="11" t="s">
        <v>315</v>
      </c>
      <c r="B16" s="11" t="s">
        <v>316</v>
      </c>
    </row>
    <row r="17" spans="1:2" x14ac:dyDescent="0.25">
      <c r="A17" s="11" t="s">
        <v>317</v>
      </c>
      <c r="B17" s="11" t="s">
        <v>318</v>
      </c>
    </row>
    <row r="18" spans="1:2" x14ac:dyDescent="0.25">
      <c r="A18" s="11" t="s">
        <v>319</v>
      </c>
      <c r="B18" s="11" t="s">
        <v>320</v>
      </c>
    </row>
    <row r="19" spans="1:2" x14ac:dyDescent="0.25">
      <c r="A19" s="11" t="s">
        <v>321</v>
      </c>
      <c r="B19" s="11" t="s">
        <v>322</v>
      </c>
    </row>
    <row r="20" spans="1:2" x14ac:dyDescent="0.25">
      <c r="A20" s="11" t="s">
        <v>323</v>
      </c>
      <c r="B20" s="11" t="s">
        <v>322</v>
      </c>
    </row>
    <row r="21" spans="1:2" x14ac:dyDescent="0.25">
      <c r="A21" s="11" t="s">
        <v>324</v>
      </c>
      <c r="B21" s="11" t="s">
        <v>325</v>
      </c>
    </row>
    <row r="22" spans="1:2" x14ac:dyDescent="0.25">
      <c r="A22" s="11" t="s">
        <v>326</v>
      </c>
      <c r="B22" s="11" t="s">
        <v>327</v>
      </c>
    </row>
    <row r="23" spans="1:2" x14ac:dyDescent="0.25">
      <c r="A23" s="11" t="s">
        <v>328</v>
      </c>
      <c r="B23" s="11" t="s">
        <v>329</v>
      </c>
    </row>
    <row r="24" spans="1:2" x14ac:dyDescent="0.25">
      <c r="A24" s="11" t="s">
        <v>330</v>
      </c>
      <c r="B24" s="11" t="s">
        <v>331</v>
      </c>
    </row>
    <row r="26" spans="1:2" x14ac:dyDescent="0.25">
      <c r="A26" s="14" t="s">
        <v>332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baseColWidth="10" defaultColWidth="9.140625" defaultRowHeight="15" x14ac:dyDescent="0.25"/>
  <cols>
    <col min="1" max="1" width="30" customWidth="1"/>
    <col min="2" max="2" width="100" customWidth="1"/>
  </cols>
  <sheetData>
    <row r="1" spans="1:2" ht="15.75" x14ac:dyDescent="0.25">
      <c r="A1" s="8" t="s">
        <v>333</v>
      </c>
    </row>
    <row r="3" spans="1:2" ht="33.950000000000003" customHeight="1" x14ac:dyDescent="0.25">
      <c r="A3" s="12" t="s">
        <v>334</v>
      </c>
      <c r="B3" s="15" t="s">
        <v>335</v>
      </c>
    </row>
    <row r="4" spans="1:2" ht="33.950000000000003" customHeight="1" x14ac:dyDescent="0.25">
      <c r="A4" s="12" t="s">
        <v>336</v>
      </c>
      <c r="B4" s="15" t="s">
        <v>337</v>
      </c>
    </row>
    <row r="5" spans="1:2" ht="33.950000000000003" customHeight="1" x14ac:dyDescent="0.25">
      <c r="A5" s="12" t="s">
        <v>1</v>
      </c>
      <c r="B5" s="15" t="s">
        <v>338</v>
      </c>
    </row>
    <row r="6" spans="1:2" ht="33.950000000000003" customHeight="1" x14ac:dyDescent="0.25">
      <c r="A6" s="12" t="s">
        <v>3</v>
      </c>
      <c r="B6" s="15" t="s">
        <v>339</v>
      </c>
    </row>
    <row r="7" spans="1:2" ht="33.950000000000003" customHeight="1" x14ac:dyDescent="0.25">
      <c r="A7" s="12" t="s">
        <v>4</v>
      </c>
      <c r="B7" s="15" t="s">
        <v>340</v>
      </c>
    </row>
    <row r="8" spans="1:2" ht="33.950000000000003" customHeight="1" x14ac:dyDescent="0.25">
      <c r="A8" s="12" t="s">
        <v>7</v>
      </c>
      <c r="B8" s="15" t="s">
        <v>341</v>
      </c>
    </row>
    <row r="9" spans="1:2" ht="33.950000000000003" customHeight="1" x14ac:dyDescent="0.25">
      <c r="A9" s="12" t="s">
        <v>9</v>
      </c>
      <c r="B9" s="15" t="s">
        <v>342</v>
      </c>
    </row>
    <row r="10" spans="1:2" ht="33.950000000000003" customHeight="1" x14ac:dyDescent="0.25">
      <c r="A10" s="12" t="s">
        <v>343</v>
      </c>
      <c r="B10" s="15" t="s">
        <v>344</v>
      </c>
    </row>
    <row r="11" spans="1:2" ht="33.950000000000003" customHeight="1" x14ac:dyDescent="0.25">
      <c r="A11" s="12" t="s">
        <v>345</v>
      </c>
      <c r="B11" s="15"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No funcionales</vt:lpstr>
      <vt:lpstr>Resumen</vt:lpstr>
      <vt:lpstr>Leyenda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 Nicolas Santillan Velasquez</cp:lastModifiedBy>
  <dcterms:created xsi:type="dcterms:W3CDTF">2026-08-31T17:01:56Z</dcterms:created>
  <dcterms:modified xsi:type="dcterms:W3CDTF">2026-08-31T17:02:19Z</dcterms:modified>
</cp:coreProperties>
</file>